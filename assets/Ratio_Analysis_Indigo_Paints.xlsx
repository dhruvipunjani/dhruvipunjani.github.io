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ndalone- balance sheet" sheetId="1" r:id="rId5"/>
    <sheet state="visible" name="standalone-income statemen" sheetId="2" r:id="rId6"/>
    <sheet state="visible" name="standalone- cash flow" sheetId="3" r:id="rId7"/>
    <sheet state="visible" name="KPC_Ratios" sheetId="4" r:id="rId8"/>
    <sheet state="visible" name="Interpretation" sheetId="5" r:id="rId9"/>
  </sheets>
  <definedNames/>
  <calcPr/>
</workbook>
</file>

<file path=xl/sharedStrings.xml><?xml version="1.0" encoding="utf-8"?>
<sst xmlns="http://schemas.openxmlformats.org/spreadsheetml/2006/main" count="304" uniqueCount="247">
  <si>
    <t>an interpretation of the financial position of the company purely based on the ratios computed.</t>
  </si>
  <si>
    <t>12 mths</t>
  </si>
  <si>
    <t>EQUITIES AND LIABILITIES</t>
  </si>
  <si>
    <t>SHAREHOLDER'S FUNDS</t>
  </si>
  <si>
    <t>Equity Share Capital</t>
  </si>
  <si>
    <t>TOTAL SHARE CAPITAL</t>
  </si>
  <si>
    <t>Reserves and Surplus</t>
  </si>
  <si>
    <t>TOTAL RESERVES AND SURPLUS</t>
  </si>
  <si>
    <t>TOTAL SHAREHOLDERS FUNDS</t>
  </si>
  <si>
    <t>NON-CURRENT LIABILITIES</t>
  </si>
  <si>
    <t>Long Term Borrowings</t>
  </si>
  <si>
    <t>Deferred Tax Liabilities [Net]</t>
  </si>
  <si>
    <t>Other Long Term Liabilities</t>
  </si>
  <si>
    <t>Long Term Provisions</t>
  </si>
  <si>
    <t>TOTAL NON-CURRENT LIABILITIES</t>
  </si>
  <si>
    <t>CURRENT LIABILITIES</t>
  </si>
  <si>
    <t>Short Term Borrowings</t>
  </si>
  <si>
    <t>Trade Payables</t>
  </si>
  <si>
    <t>Other Current Liabilities</t>
  </si>
  <si>
    <t>Short Term Provisions</t>
  </si>
  <si>
    <t>TOTAL CURRENT LIABILITIES</t>
  </si>
  <si>
    <t>TOTAL CAPITAL AND LIABILITIES</t>
  </si>
  <si>
    <t>ASSETS</t>
  </si>
  <si>
    <t>NON-CURRENT ASSETS</t>
  </si>
  <si>
    <t>Tangible Assets</t>
  </si>
  <si>
    <t>Intangible Assets</t>
  </si>
  <si>
    <t>Capital Work-In-Progress</t>
  </si>
  <si>
    <t>Other Assets</t>
  </si>
  <si>
    <t>FIXED ASSETS</t>
  </si>
  <si>
    <t>Non-Current Investments</t>
  </si>
  <si>
    <t>Deferred Tax Assets [Net]</t>
  </si>
  <si>
    <t>Long Term Loans And Advances</t>
  </si>
  <si>
    <t>Other Non-Current Assets</t>
  </si>
  <si>
    <t>TOTAL NON-CURRENT ASSETS</t>
  </si>
  <si>
    <t>CURRENT ASSETS</t>
  </si>
  <si>
    <t>Current Investments</t>
  </si>
  <si>
    <t>Inventories</t>
  </si>
  <si>
    <t>Trade Receivables</t>
  </si>
  <si>
    <t>Cash And Cash Equivalents</t>
  </si>
  <si>
    <t>Short Term Loans And Advances</t>
  </si>
  <si>
    <t>OtherCurrentAssets</t>
  </si>
  <si>
    <t>TOTAL CURRENT ASSETS</t>
  </si>
  <si>
    <t>TOTAL ASSETS</t>
  </si>
  <si>
    <t>OTHER ADDITIONAL INFORMATION</t>
  </si>
  <si>
    <t>CONTINGENT LIABILITIES, COMMITMENTS</t>
  </si>
  <si>
    <t>Contingent Liabilities</t>
  </si>
  <si>
    <t>CIF VALUE OF IMPORTS</t>
  </si>
  <si>
    <t>Raw Materials</t>
  </si>
  <si>
    <t>Stores, Spares And Loose Tools</t>
  </si>
  <si>
    <t>Trade/Other Goods</t>
  </si>
  <si>
    <t>Capital Goods</t>
  </si>
  <si>
    <t>EXPENDITURE IN FOREIGN EXCHANGE</t>
  </si>
  <si>
    <t>Expenditure In Foreign Currency</t>
  </si>
  <si>
    <t>REMITTANCES IN FOREIGN CURRENCIES FOR DIVIDENDS</t>
  </si>
  <si>
    <t>Dividend Remittance In Foreign Currency</t>
  </si>
  <si>
    <t>--</t>
  </si>
  <si>
    <t>EARNINGS IN FOREIGN EXCHANGE</t>
  </si>
  <si>
    <t>FOB Value Of Goods</t>
  </si>
  <si>
    <t>Other Earnings</t>
  </si>
  <si>
    <t>BONUS DETAILS</t>
  </si>
  <si>
    <t>Bonus Equity Share Capital</t>
  </si>
  <si>
    <t>NON-CURRENT INVESTMENTS</t>
  </si>
  <si>
    <t>Non-Current Investments Quoted Market Value</t>
  </si>
  <si>
    <t>Non-Current Investments Unquoted Book Value</t>
  </si>
  <si>
    <t>CURRENT INVESTMENTS</t>
  </si>
  <si>
    <t>Current Investments Quoted Market Value</t>
  </si>
  <si>
    <t>Current Investments Unquoted Book Value</t>
  </si>
  <si>
    <t>Standalone Profit &amp; Loss account</t>
  </si>
  <si>
    <t>------------------- in Rs. Cr. -------------------</t>
  </si>
  <si>
    <t>INCOME</t>
  </si>
  <si>
    <t>Revenue From Operations [Gross]</t>
  </si>
  <si>
    <t>Revenue From Operations [Net]</t>
  </si>
  <si>
    <t>Other Operating Revenues</t>
  </si>
  <si>
    <t>Total Operating Revenues</t>
  </si>
  <si>
    <t>Other Income</t>
  </si>
  <si>
    <t>Total Revenue</t>
  </si>
  <si>
    <t>EXPENSES</t>
  </si>
  <si>
    <t>Cost Of Materials Consumed</t>
  </si>
  <si>
    <t>Purchase Of Stock-In Trade</t>
  </si>
  <si>
    <t>Changes In Inventories Of FG,WIP And Stock-In Trade</t>
  </si>
  <si>
    <t>Employee Benefit Expenses</t>
  </si>
  <si>
    <t>Finance Costs</t>
  </si>
  <si>
    <t>Depreciation And Amortisation Expenses</t>
  </si>
  <si>
    <t>Other Expenses</t>
  </si>
  <si>
    <t>Total Expenses</t>
  </si>
  <si>
    <t>Profit/Loss Before Exceptional, ExtraOrdinary Items And Tax</t>
  </si>
  <si>
    <t>Exceptional Items</t>
  </si>
  <si>
    <t>Profit/Loss Before Tax</t>
  </si>
  <si>
    <t>Tax Expenses-Continued Operations</t>
  </si>
  <si>
    <t>Current Tax</t>
  </si>
  <si>
    <t>Deferred Tax</t>
  </si>
  <si>
    <t>Tax For Earlier Years</t>
  </si>
  <si>
    <t>Total Tax Expenses</t>
  </si>
  <si>
    <t>Profit/Loss After Tax And Before ExtraOrdinary Items</t>
  </si>
  <si>
    <t>Profit/Loss From Continuing Operations</t>
  </si>
  <si>
    <t>Profit/Loss For The Period</t>
  </si>
  <si>
    <t>EARNINGS PER SHARE</t>
  </si>
  <si>
    <t>Basic EPS (Rs.)</t>
  </si>
  <si>
    <t>Diluted EPS (Rs.)</t>
  </si>
  <si>
    <t>VALUE OF IMPORTED AND INDIGENIOUS RAW MATERIALS</t>
  </si>
  <si>
    <t>STORES, SPARES AND LOOSE TOOLS</t>
  </si>
  <si>
    <t>DIVIDEND AND DIVIDEND PERCENTAGE</t>
  </si>
  <si>
    <t>Equity Share Dividend</t>
  </si>
  <si>
    <t>Equity Dividend Rate (%)</t>
  </si>
  <si>
    <t>Indigo Paints</t>
  </si>
  <si>
    <t>Previous Years »</t>
  </si>
  <si>
    <t>Cash Flow</t>
  </si>
  <si>
    <t>Net Profit/Loss Before Extraordinary Items And Tax</t>
  </si>
  <si>
    <t>Net CashFlow From Operating Activities</t>
  </si>
  <si>
    <t>Net Cash Used In Investing Activities</t>
  </si>
  <si>
    <t>Net Cash Used From Financing Activities</t>
  </si>
  <si>
    <t>Net Inc/Dec In Cash And Cash Equivalents</t>
  </si>
  <si>
    <t>Cash And Cash Equivalents Begin of Year</t>
  </si>
  <si>
    <t>Cash And Cash Equivalents End Of Year</t>
  </si>
  <si>
    <t>Computations - Any Comments</t>
  </si>
  <si>
    <t>Computations</t>
  </si>
  <si>
    <t>Intepretation</t>
  </si>
  <si>
    <t>Peer Comparison - Only 2023 (Industry Average)</t>
  </si>
  <si>
    <t>LIQUIDITY RATIO</t>
  </si>
  <si>
    <t>Current Ratio</t>
  </si>
  <si>
    <t>Current Assets / Current Liabilities</t>
  </si>
  <si>
    <t>A simple measure that estimates whether the business can pay short term debts. Ideal ratio is 2 : 1.</t>
  </si>
  <si>
    <r>
      <rPr>
        <rFont val="Georgia"/>
        <color rgb="FF000000"/>
        <sz val="12.0"/>
      </rPr>
      <t xml:space="preserve">The current ratio indicates </t>
    </r>
    <r>
      <rPr>
        <rFont val="Georgia"/>
        <b/>
        <color rgb="FF000000"/>
        <sz val="12.0"/>
      </rPr>
      <t>strong short-term liquidity</t>
    </r>
    <r>
      <rPr>
        <rFont val="Georgia"/>
        <color rgb="FF000000"/>
        <sz val="12.0"/>
      </rPr>
      <t xml:space="preserve"> of the company and how </t>
    </r>
    <r>
      <rPr>
        <rFont val="Georgia"/>
        <b/>
        <color rgb="FF000000"/>
        <sz val="12.0"/>
      </rPr>
      <t>quickly it can fulfil the short-term liabilities it holds using the current assets</t>
    </r>
    <r>
      <rPr>
        <rFont val="Georgia"/>
        <color rgb="FF000000"/>
        <sz val="12.0"/>
      </rPr>
      <t xml:space="preserve"> the company holds. The current ratio for Indigo Paints is slightly higher than the industry average which is a good sign for the company. It is not too high than the industry average, so it shows that the </t>
    </r>
    <r>
      <rPr>
        <rFont val="Georgia"/>
        <b/>
        <color rgb="FF000000"/>
        <sz val="12.0"/>
      </rPr>
      <t>management is effectively utilising its assets</t>
    </r>
    <r>
      <rPr>
        <rFont val="Georgia"/>
        <color rgb="FF000000"/>
        <sz val="12.0"/>
      </rPr>
      <t xml:space="preserve"> and the company provides a sense of l</t>
    </r>
    <r>
      <rPr>
        <rFont val="Georgia"/>
        <b/>
        <color rgb="FF000000"/>
        <sz val="12.0"/>
      </rPr>
      <t>ow risk and stability for investors/shareholders.</t>
    </r>
  </si>
  <si>
    <t>Quick Ratio</t>
  </si>
  <si>
    <t>Quick Assets / Current Liabilities</t>
  </si>
  <si>
    <t>It measures the ability to meet current debt immediately. Ideal ratio is 1 : 1.</t>
  </si>
  <si>
    <r>
      <rPr>
        <rFont val="Georgia"/>
        <color rgb="FF000000"/>
        <sz val="12.0"/>
      </rPr>
      <t xml:space="preserve">Quick Ratio is a better indicator of the liquidity of a company as it excludes inventory and other assets that can not be quickly converted to cash. This gives a better idea of how the company manages its assets to fulfil short-term liabilities. Again the quick ratio of Indigo is higher than the industry average which shows that the company is at a more </t>
    </r>
    <r>
      <rPr>
        <rFont val="Georgia"/>
        <b/>
        <color rgb="FF000000"/>
        <sz val="12.0"/>
      </rPr>
      <t>low risk, liquid company</t>
    </r>
    <r>
      <rPr>
        <rFont val="Georgia"/>
        <color rgb="FF000000"/>
        <sz val="12.0"/>
      </rPr>
      <t xml:space="preserve"> compared to majority of its peers making it an ideal choice for investors/ shareholders</t>
    </r>
  </si>
  <si>
    <t>Quick Assets = Current Assets - Inventory - Prepaid Expenses</t>
  </si>
  <si>
    <t>Cash Ratio</t>
  </si>
  <si>
    <t>Cash and Bank Balance + Marketable Securities / Current Liabilities</t>
  </si>
  <si>
    <t>It measures absolute liquidity of the business.</t>
  </si>
  <si>
    <t>CAPITAL STRUCTURE RATIO</t>
  </si>
  <si>
    <t>Equity Ratio</t>
  </si>
  <si>
    <t>Shareholders Equity / Capital Employed</t>
  </si>
  <si>
    <t>Capital employed taken by finance people: total assets-current liabilities</t>
  </si>
  <si>
    <t>It indicates owner’s fund in companies to total fund invested.</t>
  </si>
  <si>
    <t>Capital Employed</t>
  </si>
  <si>
    <t>Debt to Equity Ratio</t>
  </si>
  <si>
    <t>Long Term Debt / Shareholder’s Equity</t>
  </si>
  <si>
    <t>It indicates the composition of capital structure in terms of debt and equity</t>
  </si>
  <si>
    <r>
      <rPr>
        <rFont val="Georgia"/>
        <color rgb="FF000000"/>
        <sz val="12.0"/>
      </rPr>
      <t xml:space="preserve">It is a good sign if a company has a debt-to-equity ratio of less than 1. This indicates that the company has a </t>
    </r>
    <r>
      <rPr>
        <rFont val="Georgia"/>
        <b/>
        <color rgb="FF000000"/>
        <sz val="12.0"/>
      </rPr>
      <t>low debt and can fund the company's operations from the shareholder's equity</t>
    </r>
    <r>
      <rPr>
        <rFont val="Georgia"/>
        <color rgb="FF000000"/>
        <sz val="12.0"/>
      </rPr>
      <t xml:space="preserve"> and does not rely much on external debt. Indigo has the </t>
    </r>
    <r>
      <rPr>
        <rFont val="Georgia"/>
        <b/>
        <color rgb="FF000000"/>
        <sz val="12.0"/>
      </rPr>
      <t>lowest debt-to-equity ratio</t>
    </r>
    <r>
      <rPr>
        <rFont val="Georgia"/>
        <color rgb="FF000000"/>
        <sz val="12.0"/>
      </rPr>
      <t xml:space="preserve"> as compared to all its peers, almost negligible, which is a very good sign for investors. This shows that the company is in a </t>
    </r>
    <r>
      <rPr>
        <rFont val="Georgia"/>
        <b/>
        <color rgb="FF000000"/>
        <sz val="12.0"/>
      </rPr>
      <t>good position in terms of financial risk</t>
    </r>
    <r>
      <rPr>
        <rFont val="Georgia"/>
        <color rgb="FF000000"/>
        <sz val="12.0"/>
      </rPr>
      <t xml:space="preserve">. It shows that the company is </t>
    </r>
    <r>
      <rPr>
        <rFont val="Georgia"/>
        <b/>
        <color rgb="FF000000"/>
        <sz val="12.0"/>
      </rPr>
      <t xml:space="preserve">not burdened by debt </t>
    </r>
    <r>
      <rPr>
        <rFont val="Georgia"/>
        <color rgb="FF000000"/>
        <sz val="12.0"/>
      </rPr>
      <t xml:space="preserve">and is in a good financial position. </t>
    </r>
  </si>
  <si>
    <t>Debt to Total Assets Ratio</t>
  </si>
  <si>
    <t>Long Term Debt / Total Assets</t>
  </si>
  <si>
    <t>It measures how much of total assets is financed by the debt.</t>
  </si>
  <si>
    <t>Proprietary Ratio</t>
  </si>
  <si>
    <t>Proprietary Funds / Total Assets</t>
  </si>
  <si>
    <t>It measures the proportion of total assets financed by shareholders</t>
  </si>
  <si>
    <t>Proprietary fund includes Equity Share Capital + Preference Share Capital + Reserve &amp; Surplus. Total assets exclude ctitious assets and losses.</t>
  </si>
  <si>
    <t>COVERAGE RATIO</t>
  </si>
  <si>
    <t>Debt Service Coverage Ratio (DSCR)</t>
  </si>
  <si>
    <t>Earnings available for debt services / Interest + Instalments</t>
  </si>
  <si>
    <t>EBITDA- Cash Taxes/ Interest+ CPLTD. Can be done later through cash flow also</t>
  </si>
  <si>
    <t>It measures the ability to meet the commitment of various debt services like interest, instalment etc. Ideal ratio is 2.</t>
  </si>
  <si>
    <t>Interest Coverage Ratio</t>
  </si>
  <si>
    <t>EBIT / Interest</t>
  </si>
  <si>
    <t>It measures the ability of the business to meet interest. Ideal ratio is &gt; 1.</t>
  </si>
  <si>
    <t>ACTIVITY / TURNOVER RATIO</t>
  </si>
  <si>
    <t>Total Asset Turnover Ratio</t>
  </si>
  <si>
    <t>Sales / Average Total Assets</t>
  </si>
  <si>
    <t>A measure of total asset utilisation. It helps to answer the question - What sales are being generated by each rupee’s worth of assets invested in the business?</t>
  </si>
  <si>
    <r>
      <rPr>
        <rFont val="Georgia"/>
        <color rgb="FF000000"/>
        <sz val="12.0"/>
      </rPr>
      <t xml:space="preserve">The total asset turnover ratio indicates how well a company can generate revenue from its assets. It indicates how efficiently the company uses its assets to generate sales. Indigo has a higher ratio than the industry average which means that Indigo is </t>
    </r>
    <r>
      <rPr>
        <rFont val="Georgia"/>
        <b/>
        <color rgb="FF000000"/>
        <sz val="12.0"/>
      </rPr>
      <t>generating more sales from each unit of its assets than its peers in this sector</t>
    </r>
    <r>
      <rPr>
        <rFont val="Georgia"/>
        <color rgb="FF000000"/>
        <sz val="12.0"/>
      </rPr>
      <t xml:space="preserve">. It is </t>
    </r>
    <r>
      <rPr>
        <rFont val="Georgia"/>
        <b/>
        <color rgb="FF000000"/>
        <sz val="12.0"/>
      </rPr>
      <t>utilising its assets wisely</t>
    </r>
    <r>
      <rPr>
        <rFont val="Georgia"/>
        <color rgb="FF000000"/>
        <sz val="12.0"/>
      </rPr>
      <t xml:space="preserve"> and putting them to use. This serves as proof of </t>
    </r>
    <r>
      <rPr>
        <rFont val="Georgia"/>
        <b/>
        <color rgb="FF000000"/>
        <sz val="12.0"/>
      </rPr>
      <t>effective asset management and operational efficiency</t>
    </r>
    <r>
      <rPr>
        <rFont val="Georgia"/>
        <color rgb="FF000000"/>
        <sz val="12.0"/>
      </rPr>
      <t xml:space="preserve">. </t>
    </r>
  </si>
  <si>
    <t>Fixed Assets Turnover Ratio</t>
  </si>
  <si>
    <t>Sales or COGS / Fixed Assets</t>
  </si>
  <si>
    <t>This ratio is about fixed asset capacity. A reducing sales or profit being generated from each rupee invested in fixed assets may indicate overcapacity or poorer- performing equipment</t>
  </si>
  <si>
    <r>
      <rPr>
        <rFont val="Georgia"/>
        <color rgb="FF000000"/>
        <sz val="12.0"/>
      </rPr>
      <t xml:space="preserve">This uses a subset of the total assets to identify how well the company is utilising its fixed assets to generate sales and revenue. Again Indigo Paints has a higher ratio than its industry average which is an indicator of its </t>
    </r>
    <r>
      <rPr>
        <rFont val="Georgia"/>
        <b/>
        <color rgb="FF000000"/>
        <sz val="12.0"/>
      </rPr>
      <t>good management and productive use of assets</t>
    </r>
    <r>
      <rPr>
        <rFont val="Georgia"/>
        <color rgb="FF000000"/>
        <sz val="12.0"/>
      </rPr>
      <t xml:space="preserve">.  </t>
    </r>
  </si>
  <si>
    <t>Inventory Turnover Ratio</t>
  </si>
  <si>
    <t>COGS or Sales / Average Inventory</t>
  </si>
  <si>
    <t>Measures how efficiently the firm uses its inventory</t>
  </si>
  <si>
    <r>
      <rPr>
        <rFont val="Georgia"/>
        <color rgb="FF000000"/>
        <sz val="12.0"/>
      </rPr>
      <t xml:space="preserve">This ratio is an indicator of how well the company can turn over inventory and generate sales. Here Indigo Paints has a lower Inventory Turnover Ratio as compared to its industry average which reflects that the company </t>
    </r>
    <r>
      <rPr>
        <rFont val="Georgia"/>
        <b/>
        <color rgb="FF000000"/>
        <sz val="12.0"/>
      </rPr>
      <t>might have excess unsold inventory and take a little longer to sell its inventory</t>
    </r>
    <r>
      <rPr>
        <rFont val="Georgia"/>
        <color rgb="FF000000"/>
        <sz val="12.0"/>
      </rPr>
      <t xml:space="preserve"> as compared to its peers in the industry. However, there is only a small difference between the company's ratio and industry average which is not a concern for investors given the industry is of paints and varnish. </t>
    </r>
  </si>
  <si>
    <t>Avg Inventory = OS + CS / 2</t>
  </si>
  <si>
    <t>Receivable Turnover</t>
  </si>
  <si>
    <t>Annual Net Credit Sales / Receivables</t>
  </si>
  <si>
    <t>total op revenue/avg of trade recveiables</t>
  </si>
  <si>
    <t>Indicates quality of receivables and how successful the firm is in its collections.</t>
  </si>
  <si>
    <r>
      <rPr>
        <rFont val="Georgia"/>
        <color rgb="FF000000"/>
        <sz val="12.0"/>
      </rPr>
      <t xml:space="preserve">This ratio indicates how efficiently and quickly a company can manage to get its receivables and convert them to cash in a given period. Indigo Paints has a </t>
    </r>
    <r>
      <rPr>
        <rFont val="Georgia"/>
        <b/>
        <color rgb="FF000000"/>
        <sz val="12.0"/>
      </rPr>
      <t>low Receivable Turnover Ratio</t>
    </r>
    <r>
      <rPr>
        <rFont val="Georgia"/>
        <color rgb="FF000000"/>
        <sz val="12.0"/>
      </rPr>
      <t xml:space="preserve"> as compared to its peers which suggests that it is </t>
    </r>
    <r>
      <rPr>
        <rFont val="Georgia"/>
        <b/>
        <color rgb="FF000000"/>
        <sz val="12.0"/>
      </rPr>
      <t>not very efficient and takes longer than its industry peers to convert receivables to cash</t>
    </r>
    <r>
      <rPr>
        <rFont val="Georgia"/>
        <color rgb="FF000000"/>
        <sz val="12.0"/>
      </rPr>
      <t xml:space="preserve">. Indigo Paints should make amends to its policies and ensure timely receival of its payments from customers and improve its collection process. </t>
    </r>
  </si>
  <si>
    <t>Average Collection Period / AR Days</t>
  </si>
  <si>
    <t>Days in a year / Receivable Turnover</t>
  </si>
  <si>
    <t>Average number of days that receivables are outstanding</t>
  </si>
  <si>
    <r>
      <rPr>
        <rFont val="Georgia"/>
        <color rgb="FF000000"/>
        <sz val="12.0"/>
      </rPr>
      <t xml:space="preserve">This ratio shows how long it takes a company to collect outstanding payments from its customers. A higher ratio indicates that </t>
    </r>
    <r>
      <rPr>
        <rFont val="Georgia"/>
        <b/>
        <color rgb="FF000000"/>
        <sz val="12.0"/>
      </rPr>
      <t>it takes Indigo Paints longer than its industry peers to collect and turn receivables into cash.</t>
    </r>
  </si>
  <si>
    <t>Payable Turnover</t>
  </si>
  <si>
    <t>Annual Credit Purchases / Accounts Payable</t>
  </si>
  <si>
    <t>cogs/trade payables avg</t>
  </si>
  <si>
    <t>Indicates the promptness of payment to suppliers by the firm.</t>
  </si>
  <si>
    <t>COGS= Cost Of Materials Consumed+Purchase Of Stock-In Trade+Changes In Inventories Of FG,WIP And Stock-In Trade+Depreciation And Amortisation Expenses</t>
  </si>
  <si>
    <t>Average Payment Period / AP Days</t>
  </si>
  <si>
    <t>Days in a year / Payable Turnover</t>
  </si>
  <si>
    <t>Average number of days that payables are outstanding.</t>
  </si>
  <si>
    <t>PROFITABILITY RATIOS</t>
  </si>
  <si>
    <t>Gross Profit Ratio</t>
  </si>
  <si>
    <t>GP / Sales * 100</t>
  </si>
  <si>
    <t>This ratio tells us something about the business's ability consistently to control its production costs or to manage the margins it makes on products it buys and sells.</t>
  </si>
  <si>
    <t>Net Profit Ratio</t>
  </si>
  <si>
    <t>NP / Sales * 100</t>
  </si>
  <si>
    <t>It measures the relationship between net profit and sales of the business.</t>
  </si>
  <si>
    <r>
      <rPr>
        <rFont val="Georgia"/>
        <color rgb="FF000000"/>
        <sz val="12.0"/>
      </rPr>
      <t xml:space="preserve">Net Profit Ratio is indicative of how much profit a company earns in relation to its total revenue. Though the Net Profit Ratio is good for Indigo Paints, it is still lower as compared to the industry average. This indicates that </t>
    </r>
    <r>
      <rPr>
        <rFont val="Georgia"/>
        <b/>
        <color rgb="FF000000"/>
        <sz val="12.0"/>
      </rPr>
      <t>Indigo Paints on average is less profitable than its peers</t>
    </r>
    <r>
      <rPr>
        <rFont val="Georgia"/>
        <color rgb="FF000000"/>
        <sz val="12.0"/>
      </rPr>
      <t xml:space="preserve">. </t>
    </r>
  </si>
  <si>
    <t>Return on Investment</t>
  </si>
  <si>
    <t>Profit or Earnings After Tax / Equity Funds or Capital Employed or Assets</t>
  </si>
  <si>
    <t>It measures overall return of the business on investment/equity funds/capital employed/ assets.</t>
  </si>
  <si>
    <t>Return on Assets (ROA)</t>
  </si>
  <si>
    <t>PAT / Total Assets</t>
  </si>
  <si>
    <t>It measures net profit per rupee of average total assets.</t>
  </si>
  <si>
    <t>Return on Capital Employed</t>
  </si>
  <si>
    <t>EBIT / Capital Employed * 100</t>
  </si>
  <si>
    <t>Ebitda: profit before extraordinary items+finance cost+depreciation and ammortization</t>
  </si>
  <si>
    <t>It measures overall earnings (either pre- tax or post tax) on total capital employed</t>
  </si>
  <si>
    <t>Ebitda value</t>
  </si>
  <si>
    <t>Ebit value</t>
  </si>
  <si>
    <t>ROCE (Pre-tax)</t>
  </si>
  <si>
    <t>((Current tax+deferred tax )/PBT)*100</t>
  </si>
  <si>
    <t>EBIT (1-t) / Capital Employed * 100</t>
  </si>
  <si>
    <t>ROCE (Post -tax)</t>
  </si>
  <si>
    <t xml:space="preserve">Tax rate </t>
  </si>
  <si>
    <t>Return on Equity (ROE)</t>
  </si>
  <si>
    <t>(PAT - Preference Dividend ) / Net Worth or Equity Shareholders Funds</t>
  </si>
  <si>
    <t>It indicates earnings available to equity shareholders in comparison to equity shareholders’ net worth.</t>
  </si>
  <si>
    <r>
      <rPr>
        <rFont val="Georgia"/>
        <color rgb="FF000000"/>
        <sz val="12.0"/>
      </rPr>
      <t xml:space="preserve">ROE indicates how much profit the business is generating on the invested equity. </t>
    </r>
    <r>
      <rPr>
        <rFont val="Georgia"/>
        <b/>
        <color rgb="FF000000"/>
        <sz val="12.0"/>
      </rPr>
      <t>17% ROE is still a good number</t>
    </r>
    <r>
      <rPr>
        <rFont val="Georgia"/>
        <color rgb="FF000000"/>
        <sz val="12.0"/>
      </rPr>
      <t xml:space="preserve">, however, when compared to the industry average Indigo Paints is </t>
    </r>
    <r>
      <rPr>
        <rFont val="Georgia"/>
        <b/>
        <color rgb="FF000000"/>
        <sz val="12.0"/>
      </rPr>
      <t>not performing up to the mark of its peers</t>
    </r>
    <r>
      <rPr>
        <rFont val="Georgia"/>
        <color rgb="FF000000"/>
        <sz val="12.0"/>
      </rPr>
      <t xml:space="preserve">. When the peers are generating 18.4% returns on equity on average, Indigo is only generating 17%. This would make it a less ideal choice for investors/shareholders to put money in. </t>
    </r>
  </si>
  <si>
    <t>Earnings Per Share (EPS)</t>
  </si>
  <si>
    <t>NP available to Equity Shareholders / No. of equity shares outstanding</t>
  </si>
  <si>
    <t>EPS measures the overall profit generated for each share in existence over a particular period.</t>
  </si>
  <si>
    <t>No. of equity shares outstanding</t>
  </si>
  <si>
    <t>Dividend Per Share (DPS)</t>
  </si>
  <si>
    <t>Dividend paid to equity shareholders / No. of equity shares outstanding</t>
  </si>
  <si>
    <t>Proportion of profit distributed per equity share.</t>
  </si>
  <si>
    <t>Dividend paid</t>
  </si>
  <si>
    <t>Dividend Payout Ratio</t>
  </si>
  <si>
    <t>DPS / EPS</t>
  </si>
  <si>
    <t>It shows % of EPS paid as dividend and retained earnings.</t>
  </si>
  <si>
    <t>VALUATION RATIOS</t>
  </si>
  <si>
    <t>Market Price per share</t>
  </si>
  <si>
    <t>P/ E Ratio</t>
  </si>
  <si>
    <t>MPS / EPS</t>
  </si>
  <si>
    <t>At any time, the P/E ratio is an indication of how highly the market “rates” or “values” a business. A P/E ratio is best viewed in the context of a sector or market average to get a feel for relative value and stock market pricing.</t>
  </si>
  <si>
    <t>Dividend Yield</t>
  </si>
  <si>
    <t>DPS / MPS * 100</t>
  </si>
  <si>
    <t>It measures dividend paid based on market price of shares.</t>
  </si>
  <si>
    <t>Earnings Yield</t>
  </si>
  <si>
    <t>EPS / MPS * 100</t>
  </si>
  <si>
    <t>It is the relationship of earning per share and market value of shares.</t>
  </si>
  <si>
    <t>Market Value / Book Value per share</t>
  </si>
  <si>
    <t>Market Value per share / Book Value per share</t>
  </si>
  <si>
    <t>It indicates market response of the shareholders’ investment.</t>
  </si>
  <si>
    <t>shareholders funds/ no.of shares</t>
  </si>
  <si>
    <t>Color coded:</t>
  </si>
  <si>
    <t>What it means</t>
  </si>
  <si>
    <t>Extra calculations done for main ratio formulas/ prices or rates derived from external sources to compute main ratios</t>
  </si>
  <si>
    <t>Within 500 words submit an interpretation of the financial position of the company purely based on the ratios computed.</t>
  </si>
  <si>
    <r>
      <rPr>
        <rFont val="Georgia"/>
        <color theme="1"/>
        <sz val="12.0"/>
      </rPr>
      <t xml:space="preserve">Indigo Paints has demonstrated a </t>
    </r>
    <r>
      <rPr>
        <rFont val="Georgia"/>
        <b/>
        <color theme="1"/>
        <sz val="12.0"/>
      </rPr>
      <t>strong position in the Paint and Varnish industry</t>
    </r>
    <r>
      <rPr>
        <rFont val="Georgia"/>
        <color theme="1"/>
        <sz val="12.0"/>
      </rPr>
      <t xml:space="preserve"> with some improvements to make. Firstly, in terms of the company's </t>
    </r>
    <r>
      <rPr>
        <rFont val="Georgia"/>
        <b/>
        <color theme="1"/>
        <sz val="12.0"/>
      </rPr>
      <t>liquidity ratios</t>
    </r>
    <r>
      <rPr>
        <rFont val="Georgia"/>
        <color theme="1"/>
        <sz val="12.0"/>
      </rPr>
      <t xml:space="preserve">, it has surpassed industry averages of both Quick Ratio and Current Ratio and exhibited a commendable position of a </t>
    </r>
    <r>
      <rPr>
        <rFont val="Georgia"/>
        <b/>
        <color theme="1"/>
        <sz val="12.0"/>
      </rPr>
      <t>low-risk, liquid company, as desired by the investors</t>
    </r>
    <r>
      <rPr>
        <rFont val="Georgia"/>
        <color theme="1"/>
        <sz val="12.0"/>
      </rPr>
      <t xml:space="preserve">. This demonstrates </t>
    </r>
    <r>
      <rPr>
        <rFont val="Georgia"/>
        <b/>
        <color theme="1"/>
        <sz val="12.0"/>
      </rPr>
      <t>excellent liquidity management, with effective and productive asset management to meet short-term liability</t>
    </r>
    <r>
      <rPr>
        <rFont val="Georgia"/>
        <color theme="1"/>
        <sz val="12.0"/>
      </rPr>
      <t xml:space="preserve">. This showcases strong management with an effective and wise financial approach. Secondly, looking at the </t>
    </r>
    <r>
      <rPr>
        <rFont val="Georgia"/>
        <b/>
        <color theme="1"/>
        <sz val="12.0"/>
      </rPr>
      <t>Capital Structure Ratios</t>
    </r>
    <r>
      <rPr>
        <rFont val="Georgia"/>
        <color theme="1"/>
        <sz val="12.0"/>
      </rPr>
      <t xml:space="preserve">, Indigo Paints has again shown a robust performance regarding its reliance on Debt with a </t>
    </r>
    <r>
      <rPr>
        <rFont val="Georgia"/>
        <b/>
        <color theme="1"/>
        <sz val="12.0"/>
      </rPr>
      <t>negligible debt-to-equity ratio</t>
    </r>
    <r>
      <rPr>
        <rFont val="Georgia"/>
        <color theme="1"/>
        <sz val="12.0"/>
      </rPr>
      <t xml:space="preserve">. It is in the </t>
    </r>
    <r>
      <rPr>
        <rFont val="Georgia"/>
        <b/>
        <color theme="1"/>
        <sz val="12.0"/>
      </rPr>
      <t>top position among its peers concerning this ratio</t>
    </r>
    <r>
      <rPr>
        <rFont val="Georgia"/>
        <color theme="1"/>
        <sz val="12.0"/>
      </rPr>
      <t xml:space="preserve">, which indicates its low financial risk and no burden of debt which is a good sign for investors (though one may also say that it is good to have little debt as the cost of debt is lesser than that of equity, and debt can also provide tax benefits from interest payments. However, this is subjective.) Thirdly, when it comes to </t>
    </r>
    <r>
      <rPr>
        <rFont val="Georgia"/>
        <b/>
        <color theme="1"/>
        <sz val="12.0"/>
      </rPr>
      <t>turnover ratios</t>
    </r>
    <r>
      <rPr>
        <rFont val="Georgia"/>
        <color theme="1"/>
        <sz val="12.0"/>
      </rPr>
      <t>, the company</t>
    </r>
    <r>
      <rPr>
        <rFont val="Georgia"/>
        <b/>
        <color theme="1"/>
        <sz val="12.0"/>
      </rPr>
      <t xml:space="preserve"> outperforms industry averages in both total and fixed asset turnover ratios,</t>
    </r>
    <r>
      <rPr>
        <rFont val="Georgia"/>
        <color theme="1"/>
        <sz val="12.0"/>
      </rPr>
      <t xml:space="preserve"> indicating </t>
    </r>
    <r>
      <rPr>
        <rFont val="Georgia"/>
        <b/>
        <color theme="1"/>
        <sz val="12.0"/>
      </rPr>
      <t>efficient utilization of assets to generate revenue</t>
    </r>
    <r>
      <rPr>
        <rFont val="Georgia"/>
        <color theme="1"/>
        <sz val="12.0"/>
      </rPr>
      <t xml:space="preserve">. This operational efficiency is a positive indicator of effective management practices and the potential for cost-effective capital investments. Lastly, when it comes to </t>
    </r>
    <r>
      <rPr>
        <rFont val="Georgia"/>
        <b/>
        <color theme="1"/>
        <sz val="12.0"/>
      </rPr>
      <t>profitability ratio</t>
    </r>
    <r>
      <rPr>
        <rFont val="Georgia"/>
        <color theme="1"/>
        <sz val="12.0"/>
      </rPr>
      <t xml:space="preserve">s, the company has </t>
    </r>
    <r>
      <rPr>
        <rFont val="Georgia"/>
        <b/>
        <color theme="1"/>
        <sz val="12.0"/>
      </rPr>
      <t>underperformed</t>
    </r>
    <r>
      <rPr>
        <rFont val="Georgia"/>
        <color theme="1"/>
        <sz val="12.0"/>
      </rPr>
      <t xml:space="preserve"> as compared to its peers and has not been able to generate profits equal to or more than the industry average which is a weakness that can be improved upon as the ratios are not bad, just lower than the industry standards. The company has shown an overall strong performance which makes it a good choice for investors, with some </t>
    </r>
    <r>
      <rPr>
        <rFont val="Georgia"/>
        <b/>
        <color theme="1"/>
        <sz val="12.0"/>
      </rPr>
      <t xml:space="preserve">improvements in inventory and receivables management, as well as in optimizing working capital efficiency and increasing profitability by making some amendments in the cost structure, value proposition, etc of the company.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</si>
</sst>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 d"/>
    <numFmt numFmtId="165" formatCode="0.0"/>
  </numFmts>
  <fonts count="12">
    <font>
      <sz val="10.0"/>
      <color rgb="FF000000"/>
      <name val="Arial"/>
      <scheme val="minor"/>
    </font>
    <font>
      <sz val="12.0"/>
      <color rgb="FF000000"/>
      <name val="&quot;Times New Roman&quot;"/>
    </font>
    <font>
      <sz val="12.0"/>
      <color rgb="FF333333"/>
      <name val="Georgia"/>
    </font>
    <font>
      <sz val="12.0"/>
      <color theme="1"/>
      <name val="Georgia"/>
    </font>
    <font>
      <b/>
      <sz val="12.0"/>
      <color theme="1"/>
      <name val="Georgia"/>
    </font>
    <font>
      <b/>
      <sz val="12.0"/>
      <color rgb="FF0000FF"/>
      <name val="Georgia"/>
    </font>
    <font/>
    <font>
      <sz val="12.0"/>
      <color rgb="FF000000"/>
      <name val="Georgia"/>
    </font>
    <font>
      <b/>
      <sz val="12.0"/>
      <color rgb="FF000000"/>
      <name val="Georgia"/>
    </font>
    <font>
      <b/>
      <sz val="12.0"/>
      <color theme="1"/>
      <name val="Arial"/>
      <scheme val="minor"/>
    </font>
    <font>
      <sz val="12.0"/>
      <color theme="1"/>
      <name val="Arial"/>
      <scheme val="minor"/>
    </font>
    <font>
      <b/>
      <sz val="12.0"/>
      <color theme="1"/>
      <name val="Arial"/>
    </font>
  </fonts>
  <fills count="7">
    <fill>
      <patternFill patternType="none"/>
    </fill>
    <fill>
      <patternFill patternType="lightGray"/>
    </fill>
    <fill>
      <patternFill patternType="solid">
        <fgColor rgb="FFFFFFFF"/>
        <bgColor rgb="FFFFFFFF"/>
      </patternFill>
    </fill>
    <fill>
      <patternFill patternType="solid">
        <fgColor rgb="FFF6F8FB"/>
        <bgColor rgb="FFF6F8FB"/>
      </patternFill>
    </fill>
    <fill>
      <patternFill patternType="solid">
        <fgColor rgb="FFDEE4E6"/>
        <bgColor rgb="FFDEE4E6"/>
      </patternFill>
    </fill>
    <fill>
      <patternFill patternType="solid">
        <fgColor rgb="FFE8EBEF"/>
        <bgColor rgb="FFE8EBEF"/>
      </patternFill>
    </fill>
    <fill>
      <patternFill patternType="solid">
        <fgColor rgb="FF999999"/>
        <bgColor rgb="FF999999"/>
      </patternFill>
    </fill>
  </fills>
  <borders count="5">
    <border/>
    <border>
      <left style="thick">
        <color rgb="FF666666"/>
      </left>
      <right style="thick">
        <color rgb="FF666666"/>
      </right>
      <top style="thick">
        <color rgb="FF666666"/>
      </top>
      <bottom style="thick">
        <color rgb="FF666666"/>
      </bottom>
    </border>
    <border>
      <left style="thick">
        <color rgb="FF666666"/>
      </left>
      <top style="thick">
        <color rgb="FF666666"/>
      </top>
      <bottom style="thick">
        <color rgb="FF666666"/>
      </bottom>
    </border>
    <border>
      <top style="thick">
        <color rgb="FF666666"/>
      </top>
      <bottom style="thick">
        <color rgb="FF666666"/>
      </bottom>
    </border>
    <border>
      <right style="thick">
        <color rgb="FF666666"/>
      </right>
      <top style="thick">
        <color rgb="FF666666"/>
      </top>
      <bottom style="thick">
        <color rgb="FF666666"/>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2" fontId="1" numFmtId="0" xfId="0" applyAlignment="1" applyFill="1" applyFont="1">
      <alignment horizontal="left" readingOrder="0"/>
    </xf>
    <xf borderId="1" fillId="3" fontId="2" numFmtId="164" xfId="0" applyAlignment="1" applyBorder="1" applyFill="1" applyFont="1" applyNumberFormat="1">
      <alignment horizontal="center" readingOrder="0" shrinkToFit="0" vertical="center" wrapText="1"/>
    </xf>
    <xf borderId="1" fillId="3" fontId="2"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2" fontId="2" numFmtId="0" xfId="0" applyAlignment="1" applyBorder="1" applyFont="1">
      <alignment horizontal="center" shrinkToFit="0" vertical="center" wrapText="1"/>
    </xf>
    <xf borderId="1" fillId="2" fontId="2" numFmtId="0" xfId="0" applyAlignment="1" applyBorder="1" applyFont="1">
      <alignment horizontal="center" readingOrder="0" shrinkToFit="0" vertical="center" wrapText="1"/>
    </xf>
    <xf borderId="1" fillId="2" fontId="2" numFmtId="0" xfId="0" applyAlignment="1" applyBorder="1" applyFont="1">
      <alignment horizontal="center" shrinkToFit="0" vertical="center" wrapText="1"/>
    </xf>
    <xf borderId="1" fillId="4" fontId="2" numFmtId="0" xfId="0" applyAlignment="1" applyBorder="1" applyFill="1" applyFont="1">
      <alignment horizontal="center" readingOrder="0" shrinkToFit="0" vertical="center" wrapText="1"/>
    </xf>
    <xf borderId="1" fillId="4" fontId="2" numFmtId="0" xfId="0" applyAlignment="1" applyBorder="1" applyFont="1">
      <alignment horizontal="center" shrinkToFit="0" vertical="center" wrapText="1"/>
    </xf>
    <xf borderId="1" fillId="4" fontId="2" numFmtId="0" xfId="0" applyAlignment="1" applyBorder="1" applyFont="1">
      <alignment horizontal="center" shrinkToFit="0" vertical="center" wrapText="1"/>
    </xf>
    <xf borderId="1" fillId="3" fontId="2" numFmtId="0" xfId="0" applyAlignment="1" applyBorder="1" applyFont="1">
      <alignment horizontal="center" readingOrder="0" shrinkToFit="0" vertical="center" wrapText="1"/>
    </xf>
    <xf borderId="1" fillId="3" fontId="2" numFmtId="4" xfId="0" applyAlignment="1" applyBorder="1" applyFont="1" applyNumberFormat="1">
      <alignment horizontal="center"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2" fontId="4" numFmtId="0" xfId="0" applyAlignment="1" applyBorder="1" applyFont="1">
      <alignment horizontal="center" readingOrder="0" shrinkToFit="0" vertical="center" wrapText="1"/>
    </xf>
    <xf borderId="1" fillId="2" fontId="5" numFmtId="0" xfId="0" applyAlignment="1" applyBorder="1" applyFont="1">
      <alignment horizontal="center" readingOrder="0" shrinkToFit="0" vertical="center" wrapText="1"/>
    </xf>
    <xf borderId="1" fillId="5" fontId="4" numFmtId="0" xfId="0" applyAlignment="1" applyBorder="1" applyFill="1" applyFont="1">
      <alignment horizontal="center" readingOrder="0" shrinkToFit="0" vertical="center" wrapText="1"/>
    </xf>
    <xf borderId="1" fillId="2" fontId="3" numFmtId="0" xfId="0" applyAlignment="1" applyBorder="1" applyFont="1">
      <alignment horizontal="center" shrinkToFit="0" vertical="center" wrapText="1"/>
    </xf>
    <xf borderId="1" fillId="2" fontId="3" numFmtId="164" xfId="0" applyAlignment="1" applyBorder="1" applyFont="1" applyNumberFormat="1">
      <alignment horizontal="center" readingOrder="0" shrinkToFit="0" vertical="center" wrapText="1"/>
    </xf>
    <xf borderId="2" fillId="0" fontId="3" numFmtId="0" xfId="0" applyAlignment="1" applyBorder="1" applyFont="1">
      <alignment horizontal="center" shrinkToFit="0" vertical="center" wrapText="1"/>
    </xf>
    <xf borderId="3" fillId="0" fontId="6" numFmtId="0" xfId="0" applyBorder="1" applyFont="1"/>
    <xf borderId="4" fillId="0" fontId="6" numFmtId="0" xfId="0" applyBorder="1" applyFont="1"/>
    <xf borderId="1" fillId="2" fontId="3" numFmtId="0" xfId="0" applyAlignment="1" applyBorder="1" applyFont="1">
      <alignment horizontal="center" readingOrder="0" shrinkToFit="0" vertical="center" wrapText="1"/>
    </xf>
    <xf borderId="2" fillId="2" fontId="3" numFmtId="0" xfId="0" applyAlignment="1" applyBorder="1" applyFont="1">
      <alignment horizontal="center" readingOrder="0" shrinkToFit="0" vertical="center" wrapText="1"/>
    </xf>
    <xf borderId="1" fillId="2" fontId="3" numFmtId="4" xfId="0" applyAlignment="1" applyBorder="1" applyFont="1" applyNumberFormat="1">
      <alignment horizontal="center" readingOrder="0" shrinkToFit="0" vertical="center" wrapText="1"/>
    </xf>
    <xf borderId="1" fillId="0" fontId="3" numFmtId="2" xfId="0" applyAlignment="1" applyBorder="1" applyFont="1" applyNumberFormat="1">
      <alignment horizontal="center" shrinkToFit="0" vertical="center" wrapText="1"/>
    </xf>
    <xf borderId="1" fillId="5" fontId="3" numFmtId="0" xfId="0" applyAlignment="1" applyBorder="1" applyFont="1">
      <alignment horizontal="center" readingOrder="0" shrinkToFit="0" vertical="center" wrapText="1"/>
    </xf>
    <xf borderId="1" fillId="5" fontId="3" numFmtId="4" xfId="0" applyAlignment="1" applyBorder="1" applyFont="1" applyNumberFormat="1">
      <alignment horizontal="center" readingOrder="0" shrinkToFit="0" vertical="center" wrapText="1"/>
    </xf>
    <xf borderId="1" fillId="2" fontId="7" numFmtId="0" xfId="0" applyAlignment="1" applyBorder="1" applyFont="1">
      <alignment horizontal="center" shrinkToFit="0" vertical="center" wrapText="1"/>
    </xf>
    <xf borderId="1" fillId="2" fontId="8" numFmtId="0" xfId="0" applyAlignment="1" applyBorder="1" applyFont="1">
      <alignment horizontal="center" readingOrder="0" shrinkToFit="0" vertical="center" wrapText="1"/>
    </xf>
    <xf borderId="2" fillId="2" fontId="8" numFmtId="0" xfId="0" applyAlignment="1" applyBorder="1" applyFont="1">
      <alignment horizontal="center" readingOrder="0" shrinkToFit="0" vertical="center" wrapText="1"/>
    </xf>
    <xf borderId="1" fillId="2" fontId="7" numFmtId="0" xfId="0" applyAlignment="1" applyBorder="1" applyFont="1">
      <alignment horizontal="center" readingOrder="0" shrinkToFit="0" vertical="center" wrapText="1"/>
    </xf>
    <xf borderId="1" fillId="2" fontId="7" numFmtId="2" xfId="0" applyAlignment="1" applyBorder="1" applyFont="1" applyNumberFormat="1">
      <alignment horizontal="center" shrinkToFit="0" vertical="center" wrapText="1"/>
    </xf>
    <xf borderId="1" fillId="2" fontId="9" numFmtId="0" xfId="0" applyAlignment="1" applyBorder="1" applyFont="1">
      <alignment horizontal="center" shrinkToFit="0" vertical="center" wrapText="1"/>
    </xf>
    <xf borderId="1" fillId="2" fontId="10" numFmtId="0" xfId="0" applyAlignment="1" applyBorder="1" applyFont="1">
      <alignment horizontal="center" vertical="center"/>
    </xf>
    <xf borderId="1" fillId="6" fontId="7" numFmtId="0" xfId="0" applyAlignment="1" applyBorder="1" applyFill="1" applyFont="1">
      <alignment horizontal="center" shrinkToFit="0" vertical="center" wrapText="1"/>
    </xf>
    <xf borderId="1" fillId="6" fontId="10" numFmtId="0" xfId="0" applyAlignment="1" applyBorder="1" applyFont="1">
      <alignment horizontal="center" vertical="center"/>
    </xf>
    <xf borderId="1" fillId="6" fontId="7" numFmtId="0" xfId="0" applyAlignment="1" applyBorder="1" applyFont="1">
      <alignment horizontal="center" readingOrder="0" shrinkToFit="0" vertical="center" wrapText="1"/>
    </xf>
    <xf borderId="1" fillId="6" fontId="7" numFmtId="4" xfId="0" applyAlignment="1" applyBorder="1" applyFont="1" applyNumberFormat="1">
      <alignment horizontal="center" shrinkToFit="0" vertical="center" wrapText="1"/>
    </xf>
    <xf borderId="1" fillId="2" fontId="7" numFmtId="2" xfId="0" applyAlignment="1" applyBorder="1" applyFont="1" applyNumberFormat="1">
      <alignment horizontal="center" readingOrder="0" shrinkToFit="0" vertical="center" wrapText="1"/>
    </xf>
    <xf borderId="1" fillId="2" fontId="7" numFmtId="165" xfId="0" applyAlignment="1" applyBorder="1" applyFont="1" applyNumberFormat="1">
      <alignment horizontal="center" shrinkToFit="0" vertical="center" wrapText="1"/>
    </xf>
    <xf borderId="1" fillId="2" fontId="11" numFmtId="0" xfId="0" applyAlignment="1" applyBorder="1" applyFont="1">
      <alignment horizontal="center" shrinkToFit="0" vertical="center" wrapText="1"/>
    </xf>
    <xf borderId="1" fillId="2" fontId="9" numFmtId="10" xfId="0" applyAlignment="1" applyBorder="1" applyFont="1" applyNumberFormat="1">
      <alignment horizontal="center" shrinkToFit="0" vertical="center" wrapText="1"/>
    </xf>
    <xf borderId="1" fillId="6" fontId="7" numFmtId="2" xfId="0" applyAlignment="1" applyBorder="1" applyFont="1" applyNumberFormat="1">
      <alignment horizontal="center" shrinkToFit="0" vertical="center" wrapText="1"/>
    </xf>
    <xf borderId="1" fillId="6" fontId="7" numFmtId="10" xfId="0" applyAlignment="1" applyBorder="1" applyFont="1" applyNumberFormat="1">
      <alignment horizontal="center" readingOrder="0" shrinkToFit="0" vertical="center" wrapText="1"/>
    </xf>
    <xf borderId="1" fillId="6" fontId="7" numFmtId="3" xfId="0" applyAlignment="1" applyBorder="1" applyFont="1" applyNumberFormat="1">
      <alignment horizontal="center" readingOrder="0" shrinkToFit="0" vertical="center" wrapText="1"/>
    </xf>
    <xf borderId="1" fillId="6" fontId="7" numFmtId="4" xfId="0" applyAlignment="1" applyBorder="1" applyFont="1" applyNumberFormat="1">
      <alignment horizontal="center" readingOrder="0" shrinkToFit="0" vertical="center" wrapText="1"/>
    </xf>
    <xf borderId="1" fillId="2" fontId="7" numFmtId="3" xfId="0" applyAlignment="1" applyBorder="1" applyFont="1" applyNumberFormat="1">
      <alignment horizontal="center" readingOrder="0" shrinkToFit="0" vertical="center" wrapText="1"/>
    </xf>
    <xf borderId="1" fillId="2" fontId="7" numFmtId="4" xfId="0" applyAlignment="1" applyBorder="1" applyFont="1" applyNumberFormat="1">
      <alignment horizontal="center" readingOrder="0" shrinkToFit="0" vertical="center" wrapText="0"/>
    </xf>
    <xf borderId="1" fillId="2" fontId="7" numFmtId="4" xfId="0" applyAlignment="1" applyBorder="1" applyFont="1" applyNumberFormat="1">
      <alignment horizontal="center" readingOrder="0" shrinkToFit="0" vertical="center" wrapText="1"/>
    </xf>
    <xf borderId="1" fillId="2" fontId="7" numFmtId="1" xfId="0" applyAlignment="1" applyBorder="1" applyFont="1" applyNumberFormat="1">
      <alignment horizontal="center" shrinkToFit="0" vertical="center" wrapText="1"/>
    </xf>
    <xf borderId="2" fillId="2" fontId="7" numFmtId="0" xfId="0" applyAlignment="1" applyBorder="1" applyFont="1">
      <alignment readingOrder="0" shrinkToFit="0" vertical="top" wrapText="1"/>
    </xf>
    <xf borderId="0" fillId="2" fontId="3" numFmtId="0" xfId="0" applyAlignment="1" applyFont="1">
      <alignment shrinkToFit="0" vertical="top" wrapText="1"/>
    </xf>
    <xf borderId="0" fillId="0" fontId="3" numFmtId="0" xfId="0" applyAlignment="1" applyFont="1">
      <alignment shrinkToFit="0" wrapText="1"/>
    </xf>
    <xf borderId="1" fillId="2" fontId="3" numFmtId="0" xfId="0" applyAlignment="1" applyBorder="1" applyFont="1">
      <alignment readingOrder="0" shrinkToFit="0" vertical="top" wrapText="1"/>
    </xf>
    <xf borderId="0" fillId="2" fontId="3"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63"/>
    <col customWidth="1" min="9" max="9" width="21.38"/>
  </cols>
  <sheetData>
    <row r="1">
      <c r="A1" s="1" t="s">
        <v>0</v>
      </c>
      <c r="B1" s="2">
        <v>45008.0</v>
      </c>
      <c r="C1" s="2">
        <v>45007.0</v>
      </c>
      <c r="D1" s="2">
        <v>45006.0</v>
      </c>
      <c r="E1" s="2">
        <v>45005.0</v>
      </c>
      <c r="F1" s="2">
        <v>45004.0</v>
      </c>
      <c r="G1" s="3"/>
      <c r="H1" s="4"/>
      <c r="I1" s="4"/>
      <c r="J1" s="4"/>
      <c r="K1" s="4"/>
      <c r="L1" s="4"/>
      <c r="M1" s="4"/>
      <c r="N1" s="4"/>
      <c r="O1" s="4"/>
      <c r="P1" s="4"/>
      <c r="Q1" s="4"/>
      <c r="R1" s="4"/>
      <c r="S1" s="4"/>
      <c r="T1" s="4"/>
      <c r="U1" s="4"/>
      <c r="V1" s="4"/>
      <c r="W1" s="4"/>
      <c r="X1" s="4"/>
      <c r="Y1" s="4"/>
      <c r="Z1" s="4"/>
    </row>
    <row r="2">
      <c r="A2" s="5"/>
      <c r="B2" s="6" t="s">
        <v>1</v>
      </c>
      <c r="C2" s="6" t="s">
        <v>1</v>
      </c>
      <c r="D2" s="6" t="s">
        <v>1</v>
      </c>
      <c r="E2" s="6" t="s">
        <v>1</v>
      </c>
      <c r="F2" s="6" t="s">
        <v>1</v>
      </c>
      <c r="G2" s="7"/>
      <c r="H2" s="4"/>
      <c r="I2" s="4"/>
      <c r="J2" s="4"/>
      <c r="K2" s="4"/>
      <c r="L2" s="4"/>
      <c r="M2" s="4"/>
      <c r="N2" s="4"/>
      <c r="O2" s="4"/>
      <c r="P2" s="4"/>
      <c r="Q2" s="4"/>
      <c r="R2" s="4"/>
      <c r="S2" s="4"/>
      <c r="T2" s="4"/>
      <c r="U2" s="4"/>
      <c r="V2" s="4"/>
      <c r="W2" s="4"/>
      <c r="X2" s="4"/>
      <c r="Y2" s="4"/>
      <c r="Z2" s="4"/>
    </row>
    <row r="3">
      <c r="A3" s="8" t="s">
        <v>2</v>
      </c>
      <c r="B3" s="9"/>
      <c r="C3" s="10"/>
      <c r="D3" s="10"/>
      <c r="E3" s="10"/>
      <c r="F3" s="10"/>
      <c r="G3" s="10"/>
      <c r="H3" s="4"/>
      <c r="I3" s="4"/>
      <c r="J3" s="4"/>
      <c r="K3" s="4"/>
      <c r="L3" s="4"/>
      <c r="M3" s="4"/>
      <c r="N3" s="4"/>
      <c r="O3" s="4"/>
      <c r="P3" s="4"/>
      <c r="Q3" s="4"/>
      <c r="R3" s="4"/>
      <c r="S3" s="4"/>
      <c r="T3" s="4"/>
      <c r="U3" s="4"/>
      <c r="V3" s="4"/>
      <c r="W3" s="4"/>
      <c r="X3" s="4"/>
      <c r="Y3" s="4"/>
      <c r="Z3" s="4"/>
    </row>
    <row r="4">
      <c r="A4" s="8" t="s">
        <v>3</v>
      </c>
      <c r="B4" s="9"/>
      <c r="C4" s="10"/>
      <c r="D4" s="10"/>
      <c r="E4" s="10"/>
      <c r="F4" s="10"/>
      <c r="G4" s="10"/>
      <c r="H4" s="4"/>
      <c r="I4" s="4"/>
      <c r="J4" s="4"/>
      <c r="K4" s="4"/>
      <c r="L4" s="4"/>
      <c r="M4" s="4"/>
      <c r="N4" s="4"/>
      <c r="O4" s="4"/>
      <c r="P4" s="4"/>
      <c r="Q4" s="4"/>
      <c r="R4" s="4"/>
      <c r="S4" s="4"/>
      <c r="T4" s="4"/>
      <c r="U4" s="4"/>
      <c r="V4" s="4"/>
      <c r="W4" s="4"/>
      <c r="X4" s="4"/>
      <c r="Y4" s="4"/>
      <c r="Z4" s="4"/>
    </row>
    <row r="5">
      <c r="A5" s="6" t="s">
        <v>4</v>
      </c>
      <c r="B5" s="6">
        <v>47.59</v>
      </c>
      <c r="C5" s="6">
        <v>47.57</v>
      </c>
      <c r="D5" s="6">
        <v>47.57</v>
      </c>
      <c r="E5" s="6">
        <v>29.02</v>
      </c>
      <c r="F5" s="6">
        <v>28.85</v>
      </c>
      <c r="G5" s="7"/>
      <c r="H5" s="4"/>
      <c r="I5" s="4"/>
      <c r="J5" s="4"/>
      <c r="K5" s="4"/>
      <c r="L5" s="4"/>
      <c r="M5" s="4"/>
      <c r="N5" s="4"/>
      <c r="O5" s="4"/>
      <c r="P5" s="4"/>
      <c r="Q5" s="4"/>
      <c r="R5" s="4"/>
      <c r="S5" s="4"/>
      <c r="T5" s="4"/>
      <c r="U5" s="4"/>
      <c r="V5" s="4"/>
      <c r="W5" s="4"/>
      <c r="X5" s="4"/>
      <c r="Y5" s="4"/>
      <c r="Z5" s="4"/>
    </row>
    <row r="6">
      <c r="A6" s="11" t="s">
        <v>5</v>
      </c>
      <c r="B6" s="11">
        <v>47.59</v>
      </c>
      <c r="C6" s="11">
        <v>47.57</v>
      </c>
      <c r="D6" s="11">
        <v>47.57</v>
      </c>
      <c r="E6" s="11">
        <v>29.02</v>
      </c>
      <c r="F6" s="11">
        <v>28.85</v>
      </c>
      <c r="G6" s="3"/>
      <c r="H6" s="4"/>
      <c r="I6" s="4"/>
      <c r="J6" s="4"/>
      <c r="K6" s="4"/>
      <c r="L6" s="4"/>
      <c r="M6" s="4"/>
      <c r="N6" s="4"/>
      <c r="O6" s="4"/>
      <c r="P6" s="4"/>
      <c r="Q6" s="4"/>
      <c r="R6" s="4"/>
      <c r="S6" s="4"/>
      <c r="T6" s="4"/>
      <c r="U6" s="4"/>
      <c r="V6" s="4"/>
      <c r="W6" s="4"/>
      <c r="X6" s="4"/>
      <c r="Y6" s="4"/>
      <c r="Z6" s="4"/>
    </row>
    <row r="7">
      <c r="A7" s="6" t="s">
        <v>6</v>
      </c>
      <c r="B7" s="6">
        <v>718.69</v>
      </c>
      <c r="C7" s="6">
        <v>599.57</v>
      </c>
      <c r="D7" s="6">
        <v>515.92</v>
      </c>
      <c r="E7" s="6">
        <v>149.73</v>
      </c>
      <c r="F7" s="6">
        <v>100.31</v>
      </c>
      <c r="G7" s="7"/>
      <c r="H7" s="4"/>
      <c r="I7" s="4"/>
      <c r="J7" s="4"/>
      <c r="K7" s="4"/>
      <c r="L7" s="4"/>
      <c r="M7" s="4"/>
      <c r="N7" s="4"/>
      <c r="O7" s="4"/>
      <c r="P7" s="4"/>
      <c r="Q7" s="4"/>
      <c r="R7" s="4"/>
      <c r="S7" s="4"/>
      <c r="T7" s="4"/>
      <c r="U7" s="4"/>
      <c r="V7" s="4"/>
      <c r="W7" s="4"/>
      <c r="X7" s="4"/>
      <c r="Y7" s="4"/>
      <c r="Z7" s="4"/>
    </row>
    <row r="8">
      <c r="A8" s="11" t="s">
        <v>7</v>
      </c>
      <c r="B8" s="11">
        <v>718.69</v>
      </c>
      <c r="C8" s="11">
        <v>599.57</v>
      </c>
      <c r="D8" s="11">
        <v>515.92</v>
      </c>
      <c r="E8" s="11">
        <v>149.73</v>
      </c>
      <c r="F8" s="11">
        <v>100.31</v>
      </c>
      <c r="G8" s="3"/>
      <c r="H8" s="4"/>
      <c r="I8" s="4"/>
      <c r="J8" s="4"/>
      <c r="K8" s="4"/>
      <c r="L8" s="4"/>
      <c r="M8" s="4"/>
      <c r="N8" s="4"/>
      <c r="O8" s="4"/>
      <c r="P8" s="4"/>
      <c r="Q8" s="4"/>
      <c r="R8" s="4"/>
      <c r="S8" s="4"/>
      <c r="T8" s="4"/>
      <c r="U8" s="4"/>
      <c r="V8" s="4"/>
      <c r="W8" s="4"/>
      <c r="X8" s="4"/>
      <c r="Y8" s="4"/>
      <c r="Z8" s="4"/>
    </row>
    <row r="9">
      <c r="A9" s="11" t="s">
        <v>8</v>
      </c>
      <c r="B9" s="11">
        <v>776.13</v>
      </c>
      <c r="C9" s="11">
        <v>649.86</v>
      </c>
      <c r="D9" s="11">
        <v>563.49</v>
      </c>
      <c r="E9" s="11">
        <v>178.75</v>
      </c>
      <c r="F9" s="11">
        <v>129.16</v>
      </c>
      <c r="G9" s="3"/>
      <c r="H9" s="4"/>
      <c r="I9" s="4"/>
      <c r="J9" s="4"/>
      <c r="K9" s="4"/>
      <c r="L9" s="4"/>
      <c r="M9" s="4"/>
      <c r="N9" s="4"/>
      <c r="O9" s="4"/>
      <c r="P9" s="4"/>
      <c r="Q9" s="4"/>
      <c r="R9" s="4"/>
      <c r="S9" s="4"/>
      <c r="T9" s="4"/>
      <c r="U9" s="4"/>
      <c r="V9" s="4"/>
      <c r="W9" s="4"/>
      <c r="X9" s="4"/>
      <c r="Y9" s="4"/>
      <c r="Z9" s="4"/>
    </row>
    <row r="10">
      <c r="A10" s="8" t="s">
        <v>9</v>
      </c>
      <c r="B10" s="10"/>
      <c r="C10" s="10"/>
      <c r="D10" s="10"/>
      <c r="E10" s="10"/>
      <c r="F10" s="10"/>
      <c r="G10" s="10"/>
      <c r="H10" s="4"/>
      <c r="I10" s="4"/>
      <c r="J10" s="4"/>
      <c r="K10" s="4"/>
      <c r="L10" s="4"/>
      <c r="M10" s="4"/>
      <c r="N10" s="4"/>
      <c r="O10" s="4"/>
      <c r="P10" s="4"/>
      <c r="Q10" s="4"/>
      <c r="R10" s="4"/>
      <c r="S10" s="4"/>
      <c r="T10" s="4"/>
      <c r="U10" s="4"/>
      <c r="V10" s="4"/>
      <c r="W10" s="4"/>
      <c r="X10" s="4"/>
      <c r="Y10" s="4"/>
      <c r="Z10" s="4"/>
    </row>
    <row r="11">
      <c r="A11" s="6" t="s">
        <v>10</v>
      </c>
      <c r="B11" s="6">
        <v>0.0</v>
      </c>
      <c r="C11" s="6">
        <v>7.74</v>
      </c>
      <c r="D11" s="6">
        <v>0.0</v>
      </c>
      <c r="E11" s="6">
        <v>27.54</v>
      </c>
      <c r="F11" s="6">
        <v>32.32</v>
      </c>
      <c r="G11" s="7"/>
      <c r="H11" s="4"/>
      <c r="I11" s="4"/>
      <c r="J11" s="4"/>
      <c r="K11" s="4"/>
      <c r="L11" s="4"/>
      <c r="M11" s="4"/>
      <c r="N11" s="4"/>
      <c r="O11" s="4"/>
      <c r="P11" s="4"/>
      <c r="Q11" s="4"/>
      <c r="R11" s="4"/>
      <c r="S11" s="4"/>
      <c r="T11" s="4"/>
      <c r="U11" s="4"/>
      <c r="V11" s="4"/>
      <c r="W11" s="4"/>
      <c r="X11" s="4"/>
      <c r="Y11" s="4"/>
      <c r="Z11" s="4"/>
    </row>
    <row r="12">
      <c r="A12" s="6" t="s">
        <v>11</v>
      </c>
      <c r="B12" s="6">
        <v>6.94</v>
      </c>
      <c r="C12" s="6">
        <v>8.47</v>
      </c>
      <c r="D12" s="6">
        <v>6.95</v>
      </c>
      <c r="E12" s="6">
        <v>6.97</v>
      </c>
      <c r="F12" s="6">
        <v>2.1</v>
      </c>
      <c r="G12" s="7"/>
      <c r="H12" s="4"/>
      <c r="I12" s="4"/>
      <c r="J12" s="4"/>
      <c r="K12" s="4"/>
      <c r="L12" s="4"/>
      <c r="M12" s="4"/>
      <c r="N12" s="4"/>
      <c r="O12" s="4"/>
      <c r="P12" s="4"/>
      <c r="Q12" s="4"/>
      <c r="R12" s="4"/>
      <c r="S12" s="4"/>
      <c r="T12" s="4"/>
      <c r="U12" s="4"/>
      <c r="V12" s="4"/>
      <c r="W12" s="4"/>
      <c r="X12" s="4"/>
      <c r="Y12" s="4"/>
      <c r="Z12" s="4"/>
    </row>
    <row r="13">
      <c r="A13" s="6" t="s">
        <v>12</v>
      </c>
      <c r="B13" s="6">
        <v>11.74</v>
      </c>
      <c r="C13" s="6">
        <v>4.84</v>
      </c>
      <c r="D13" s="6">
        <v>9.79</v>
      </c>
      <c r="E13" s="6">
        <v>3.85</v>
      </c>
      <c r="F13" s="6">
        <v>3.17</v>
      </c>
      <c r="G13" s="7"/>
      <c r="H13" s="4"/>
      <c r="I13" s="4"/>
      <c r="J13" s="4"/>
      <c r="K13" s="4"/>
      <c r="L13" s="4"/>
      <c r="M13" s="4"/>
      <c r="N13" s="4"/>
      <c r="O13" s="4"/>
      <c r="P13" s="4"/>
      <c r="Q13" s="4"/>
      <c r="R13" s="4"/>
      <c r="S13" s="4"/>
      <c r="T13" s="4"/>
      <c r="U13" s="4"/>
      <c r="V13" s="4"/>
      <c r="W13" s="4"/>
      <c r="X13" s="4"/>
      <c r="Y13" s="4"/>
      <c r="Z13" s="4"/>
    </row>
    <row r="14">
      <c r="A14" s="6" t="s">
        <v>13</v>
      </c>
      <c r="B14" s="6">
        <v>2.72</v>
      </c>
      <c r="C14" s="6">
        <v>4.75</v>
      </c>
      <c r="D14" s="6">
        <v>2.53</v>
      </c>
      <c r="E14" s="6">
        <v>1.3</v>
      </c>
      <c r="F14" s="6">
        <v>0.0</v>
      </c>
      <c r="G14" s="7"/>
      <c r="H14" s="4"/>
      <c r="I14" s="4"/>
      <c r="J14" s="4"/>
      <c r="K14" s="4"/>
      <c r="L14" s="4"/>
      <c r="M14" s="4"/>
      <c r="N14" s="4"/>
      <c r="O14" s="4"/>
      <c r="P14" s="4"/>
      <c r="Q14" s="4"/>
      <c r="R14" s="4"/>
      <c r="S14" s="4"/>
      <c r="T14" s="4"/>
      <c r="U14" s="4"/>
      <c r="V14" s="4"/>
      <c r="W14" s="4"/>
      <c r="X14" s="4"/>
      <c r="Y14" s="4"/>
      <c r="Z14" s="4"/>
    </row>
    <row r="15">
      <c r="A15" s="11" t="s">
        <v>14</v>
      </c>
      <c r="B15" s="11">
        <v>21.4</v>
      </c>
      <c r="C15" s="11">
        <v>25.81</v>
      </c>
      <c r="D15" s="11">
        <v>19.27</v>
      </c>
      <c r="E15" s="11">
        <v>39.65</v>
      </c>
      <c r="F15" s="11">
        <v>37.59</v>
      </c>
      <c r="G15" s="3"/>
      <c r="H15" s="4"/>
      <c r="I15" s="4"/>
      <c r="J15" s="4"/>
      <c r="K15" s="4"/>
      <c r="L15" s="4"/>
      <c r="M15" s="4"/>
      <c r="N15" s="4"/>
      <c r="O15" s="4"/>
      <c r="P15" s="4"/>
      <c r="Q15" s="4"/>
      <c r="R15" s="4"/>
      <c r="S15" s="4"/>
      <c r="T15" s="4"/>
      <c r="U15" s="4"/>
      <c r="V15" s="4"/>
      <c r="W15" s="4"/>
      <c r="X15" s="4"/>
      <c r="Y15" s="4"/>
      <c r="Z15" s="4"/>
    </row>
    <row r="16">
      <c r="A16" s="8" t="s">
        <v>15</v>
      </c>
      <c r="B16" s="10"/>
      <c r="C16" s="10"/>
      <c r="D16" s="10"/>
      <c r="E16" s="10"/>
      <c r="F16" s="10"/>
      <c r="G16" s="10"/>
      <c r="H16" s="4"/>
      <c r="I16" s="4"/>
      <c r="J16" s="4"/>
      <c r="K16" s="4"/>
      <c r="L16" s="4"/>
      <c r="M16" s="4"/>
      <c r="N16" s="4"/>
      <c r="O16" s="4"/>
      <c r="P16" s="4"/>
      <c r="Q16" s="4"/>
      <c r="R16" s="4"/>
      <c r="S16" s="4"/>
      <c r="T16" s="4"/>
      <c r="U16" s="4"/>
      <c r="V16" s="4"/>
      <c r="W16" s="4"/>
      <c r="X16" s="4"/>
      <c r="Y16" s="4"/>
      <c r="Z16" s="4"/>
    </row>
    <row r="17">
      <c r="A17" s="6" t="s">
        <v>16</v>
      </c>
      <c r="B17" s="6">
        <v>0.0</v>
      </c>
      <c r="C17" s="6">
        <v>0.0</v>
      </c>
      <c r="D17" s="6">
        <v>0.0</v>
      </c>
      <c r="E17" s="6">
        <v>17.97</v>
      </c>
      <c r="F17" s="6">
        <v>28.69</v>
      </c>
      <c r="G17" s="7"/>
      <c r="H17" s="4"/>
      <c r="I17" s="4"/>
      <c r="J17" s="4"/>
      <c r="K17" s="4"/>
      <c r="L17" s="4"/>
      <c r="M17" s="4"/>
      <c r="N17" s="4"/>
      <c r="O17" s="4"/>
      <c r="P17" s="4"/>
      <c r="Q17" s="4"/>
      <c r="R17" s="4"/>
      <c r="S17" s="4"/>
      <c r="T17" s="4"/>
      <c r="U17" s="4"/>
      <c r="V17" s="4"/>
      <c r="W17" s="4"/>
      <c r="X17" s="4"/>
      <c r="Y17" s="4"/>
      <c r="Z17" s="4"/>
    </row>
    <row r="18">
      <c r="A18" s="6" t="s">
        <v>17</v>
      </c>
      <c r="B18" s="6">
        <v>210.58</v>
      </c>
      <c r="C18" s="6">
        <v>201.41</v>
      </c>
      <c r="D18" s="6">
        <v>185.57</v>
      </c>
      <c r="E18" s="6">
        <v>138.59</v>
      </c>
      <c r="F18" s="6">
        <v>136.24</v>
      </c>
      <c r="G18" s="7"/>
      <c r="H18" s="4"/>
      <c r="I18" s="4"/>
      <c r="J18" s="4"/>
      <c r="K18" s="4"/>
      <c r="L18" s="4"/>
      <c r="M18" s="4"/>
      <c r="N18" s="4"/>
      <c r="O18" s="4"/>
      <c r="P18" s="4"/>
      <c r="Q18" s="4"/>
      <c r="R18" s="4"/>
      <c r="S18" s="4"/>
      <c r="T18" s="4"/>
      <c r="U18" s="4"/>
      <c r="V18" s="4"/>
      <c r="W18" s="4"/>
      <c r="X18" s="4"/>
      <c r="Y18" s="4"/>
      <c r="Z18" s="4"/>
    </row>
    <row r="19">
      <c r="A19" s="6" t="s">
        <v>18</v>
      </c>
      <c r="B19" s="6">
        <v>46.66</v>
      </c>
      <c r="C19" s="6">
        <v>40.54</v>
      </c>
      <c r="D19" s="6">
        <v>41.15</v>
      </c>
      <c r="E19" s="6">
        <v>27.63</v>
      </c>
      <c r="F19" s="6">
        <v>23.19</v>
      </c>
      <c r="G19" s="7"/>
      <c r="H19" s="4"/>
      <c r="I19" s="4"/>
      <c r="J19" s="4"/>
      <c r="K19" s="4"/>
      <c r="L19" s="4"/>
      <c r="M19" s="4"/>
      <c r="N19" s="4"/>
      <c r="O19" s="4"/>
      <c r="P19" s="4"/>
      <c r="Q19" s="4"/>
      <c r="R19" s="4"/>
      <c r="S19" s="4"/>
      <c r="T19" s="4"/>
      <c r="U19" s="4"/>
      <c r="V19" s="4"/>
      <c r="W19" s="4"/>
      <c r="X19" s="4"/>
      <c r="Y19" s="4"/>
      <c r="Z19" s="4"/>
    </row>
    <row r="20">
      <c r="A20" s="6" t="s">
        <v>19</v>
      </c>
      <c r="B20" s="6">
        <v>6.85</v>
      </c>
      <c r="C20" s="6">
        <v>2.27</v>
      </c>
      <c r="D20" s="6">
        <v>1.68</v>
      </c>
      <c r="E20" s="6">
        <v>1.06</v>
      </c>
      <c r="F20" s="6">
        <v>0.0</v>
      </c>
      <c r="G20" s="7"/>
      <c r="H20" s="4"/>
      <c r="I20" s="4"/>
      <c r="J20" s="4"/>
      <c r="K20" s="4"/>
      <c r="L20" s="4"/>
      <c r="M20" s="4"/>
      <c r="N20" s="4"/>
      <c r="O20" s="4"/>
      <c r="P20" s="4"/>
      <c r="Q20" s="4"/>
      <c r="R20" s="4"/>
      <c r="S20" s="4"/>
      <c r="T20" s="4"/>
      <c r="U20" s="4"/>
      <c r="V20" s="4"/>
      <c r="W20" s="4"/>
      <c r="X20" s="4"/>
      <c r="Y20" s="4"/>
      <c r="Z20" s="4"/>
    </row>
    <row r="21">
      <c r="A21" s="11" t="s">
        <v>20</v>
      </c>
      <c r="B21" s="11">
        <v>264.08</v>
      </c>
      <c r="C21" s="11">
        <v>244.22</v>
      </c>
      <c r="D21" s="11">
        <v>228.4</v>
      </c>
      <c r="E21" s="11">
        <v>185.25</v>
      </c>
      <c r="F21" s="11">
        <v>188.13</v>
      </c>
      <c r="G21" s="3"/>
      <c r="H21" s="4"/>
      <c r="I21" s="4"/>
      <c r="J21" s="4"/>
      <c r="K21" s="4"/>
      <c r="L21" s="4"/>
      <c r="M21" s="4"/>
      <c r="N21" s="4"/>
      <c r="O21" s="4"/>
      <c r="P21" s="4"/>
      <c r="Q21" s="4"/>
      <c r="R21" s="4"/>
      <c r="S21" s="4"/>
      <c r="T21" s="4"/>
      <c r="U21" s="4"/>
      <c r="V21" s="4"/>
      <c r="W21" s="4"/>
      <c r="X21" s="4"/>
      <c r="Y21" s="4"/>
      <c r="Z21" s="4"/>
    </row>
    <row r="22">
      <c r="A22" s="11" t="s">
        <v>21</v>
      </c>
      <c r="B22" s="12">
        <v>1061.6</v>
      </c>
      <c r="C22" s="11">
        <v>919.89</v>
      </c>
      <c r="D22" s="11">
        <v>811.16</v>
      </c>
      <c r="E22" s="11">
        <v>421.96</v>
      </c>
      <c r="F22" s="11">
        <v>373.18</v>
      </c>
      <c r="G22" s="3"/>
      <c r="H22" s="4"/>
      <c r="I22" s="4"/>
      <c r="J22" s="4"/>
      <c r="K22" s="4"/>
      <c r="L22" s="4"/>
      <c r="M22" s="4"/>
      <c r="N22" s="4"/>
      <c r="O22" s="4"/>
      <c r="P22" s="4"/>
      <c r="Q22" s="4"/>
      <c r="R22" s="4"/>
      <c r="S22" s="4"/>
      <c r="T22" s="4"/>
      <c r="U22" s="4"/>
      <c r="V22" s="4"/>
      <c r="W22" s="4"/>
      <c r="X22" s="4"/>
      <c r="Y22" s="4"/>
      <c r="Z22" s="4"/>
    </row>
    <row r="23">
      <c r="A23" s="11"/>
      <c r="B23" s="12"/>
      <c r="C23" s="11"/>
      <c r="D23" s="11"/>
      <c r="E23" s="11"/>
      <c r="F23" s="11"/>
      <c r="G23" s="3"/>
      <c r="H23" s="4"/>
      <c r="I23" s="4"/>
      <c r="J23" s="4"/>
      <c r="K23" s="4"/>
      <c r="L23" s="4"/>
      <c r="M23" s="4"/>
      <c r="N23" s="4"/>
      <c r="O23" s="4"/>
      <c r="P23" s="4"/>
      <c r="Q23" s="4"/>
      <c r="R23" s="4"/>
      <c r="S23" s="4"/>
      <c r="T23" s="4"/>
      <c r="U23" s="4"/>
      <c r="V23" s="4"/>
      <c r="W23" s="4"/>
      <c r="X23" s="4"/>
      <c r="Y23" s="4"/>
      <c r="Z23" s="4"/>
    </row>
    <row r="24">
      <c r="A24" s="8" t="s">
        <v>22</v>
      </c>
      <c r="B24" s="10"/>
      <c r="C24" s="10"/>
      <c r="D24" s="10"/>
      <c r="E24" s="10"/>
      <c r="F24" s="10"/>
      <c r="G24" s="10"/>
      <c r="H24" s="4"/>
      <c r="I24" s="4"/>
      <c r="J24" s="4"/>
      <c r="K24" s="4"/>
      <c r="L24" s="4"/>
      <c r="M24" s="4"/>
      <c r="N24" s="4"/>
      <c r="O24" s="4"/>
      <c r="P24" s="4"/>
      <c r="Q24" s="4"/>
      <c r="R24" s="4"/>
      <c r="S24" s="4"/>
      <c r="T24" s="4"/>
      <c r="U24" s="4"/>
      <c r="V24" s="4"/>
      <c r="W24" s="4"/>
      <c r="X24" s="4"/>
      <c r="Y24" s="4"/>
      <c r="Z24" s="4"/>
    </row>
    <row r="25">
      <c r="A25" s="8" t="s">
        <v>23</v>
      </c>
      <c r="B25" s="10"/>
      <c r="C25" s="10"/>
      <c r="D25" s="10"/>
      <c r="E25" s="10"/>
      <c r="F25" s="10"/>
      <c r="G25" s="10"/>
      <c r="H25" s="4"/>
      <c r="I25" s="4"/>
      <c r="J25" s="4"/>
      <c r="K25" s="4"/>
      <c r="L25" s="4"/>
      <c r="M25" s="4"/>
      <c r="N25" s="4"/>
      <c r="O25" s="4"/>
      <c r="P25" s="4"/>
      <c r="Q25" s="4"/>
      <c r="R25" s="4"/>
      <c r="S25" s="4"/>
      <c r="T25" s="4"/>
      <c r="U25" s="4"/>
      <c r="V25" s="4"/>
      <c r="W25" s="4"/>
      <c r="X25" s="4"/>
      <c r="Y25" s="4"/>
      <c r="Z25" s="4"/>
    </row>
    <row r="26">
      <c r="A26" s="6" t="s">
        <v>24</v>
      </c>
      <c r="B26" s="6">
        <v>233.84</v>
      </c>
      <c r="C26" s="6">
        <v>222.4</v>
      </c>
      <c r="D26" s="6">
        <v>218.32</v>
      </c>
      <c r="E26" s="6">
        <v>169.83</v>
      </c>
      <c r="F26" s="6">
        <v>117.57</v>
      </c>
      <c r="G26" s="7"/>
      <c r="H26" s="4"/>
      <c r="I26" s="4"/>
      <c r="J26" s="4"/>
      <c r="K26" s="4"/>
      <c r="L26" s="4"/>
      <c r="M26" s="4"/>
      <c r="N26" s="4"/>
      <c r="O26" s="4"/>
      <c r="P26" s="4"/>
      <c r="Q26" s="4"/>
      <c r="R26" s="4"/>
      <c r="S26" s="4"/>
      <c r="T26" s="4"/>
      <c r="U26" s="4"/>
      <c r="V26" s="4"/>
      <c r="W26" s="4"/>
      <c r="X26" s="4"/>
      <c r="Y26" s="4"/>
      <c r="Z26" s="4"/>
    </row>
    <row r="27">
      <c r="A27" s="6" t="s">
        <v>25</v>
      </c>
      <c r="B27" s="6">
        <v>30.86</v>
      </c>
      <c r="C27" s="6">
        <v>30.94</v>
      </c>
      <c r="D27" s="6">
        <v>31.01</v>
      </c>
      <c r="E27" s="6">
        <v>30.92</v>
      </c>
      <c r="F27" s="6">
        <v>30.98</v>
      </c>
      <c r="G27" s="7"/>
      <c r="H27" s="4"/>
      <c r="I27" s="4"/>
      <c r="J27" s="4"/>
      <c r="K27" s="4"/>
      <c r="L27" s="4"/>
      <c r="M27" s="4"/>
      <c r="N27" s="4"/>
      <c r="O27" s="4"/>
      <c r="P27" s="4"/>
      <c r="Q27" s="4"/>
      <c r="R27" s="4"/>
      <c r="S27" s="4"/>
      <c r="T27" s="4"/>
      <c r="U27" s="4"/>
      <c r="V27" s="4"/>
      <c r="W27" s="4"/>
      <c r="X27" s="4"/>
      <c r="Y27" s="4"/>
      <c r="Z27" s="4"/>
    </row>
    <row r="28">
      <c r="A28" s="6" t="s">
        <v>26</v>
      </c>
      <c r="B28" s="6">
        <v>250.91</v>
      </c>
      <c r="C28" s="6">
        <v>50.97</v>
      </c>
      <c r="D28" s="6">
        <v>3.12</v>
      </c>
      <c r="E28" s="6">
        <v>1.09</v>
      </c>
      <c r="F28" s="6">
        <v>4.4</v>
      </c>
      <c r="G28" s="7"/>
      <c r="H28" s="4"/>
      <c r="I28" s="4"/>
      <c r="J28" s="4"/>
      <c r="K28" s="4"/>
      <c r="L28" s="4"/>
      <c r="M28" s="4"/>
      <c r="N28" s="4"/>
      <c r="O28" s="4"/>
      <c r="P28" s="4"/>
      <c r="Q28" s="4"/>
      <c r="R28" s="4"/>
      <c r="S28" s="4"/>
      <c r="T28" s="4"/>
      <c r="U28" s="4"/>
      <c r="V28" s="4"/>
      <c r="W28" s="4"/>
      <c r="X28" s="4"/>
      <c r="Y28" s="4"/>
      <c r="Z28" s="4"/>
    </row>
    <row r="29">
      <c r="A29" s="6" t="s">
        <v>27</v>
      </c>
      <c r="B29" s="6">
        <v>0.0</v>
      </c>
      <c r="C29" s="6">
        <v>0.0</v>
      </c>
      <c r="D29" s="6">
        <v>0.0</v>
      </c>
      <c r="E29" s="6">
        <v>0.0</v>
      </c>
      <c r="F29" s="6">
        <v>0.0</v>
      </c>
      <c r="G29" s="7"/>
      <c r="H29" s="4"/>
      <c r="I29" s="4"/>
      <c r="J29" s="4"/>
      <c r="K29" s="4"/>
      <c r="L29" s="4"/>
      <c r="M29" s="4"/>
      <c r="N29" s="4"/>
      <c r="O29" s="4"/>
      <c r="P29" s="4"/>
      <c r="Q29" s="4"/>
      <c r="R29" s="4"/>
      <c r="S29" s="4"/>
      <c r="T29" s="4"/>
      <c r="U29" s="4"/>
      <c r="V29" s="4"/>
      <c r="W29" s="4"/>
      <c r="X29" s="4"/>
      <c r="Y29" s="4"/>
      <c r="Z29" s="4"/>
    </row>
    <row r="30">
      <c r="A30" s="11" t="s">
        <v>28</v>
      </c>
      <c r="B30" s="11">
        <v>515.61</v>
      </c>
      <c r="C30" s="11">
        <v>304.31</v>
      </c>
      <c r="D30" s="11">
        <v>252.45</v>
      </c>
      <c r="E30" s="11">
        <v>201.84</v>
      </c>
      <c r="F30" s="11">
        <v>152.95</v>
      </c>
      <c r="G30" s="3"/>
      <c r="H30" s="4"/>
      <c r="I30" s="4"/>
      <c r="J30" s="4"/>
      <c r="K30" s="4"/>
      <c r="L30" s="4"/>
      <c r="M30" s="4"/>
      <c r="N30" s="4"/>
      <c r="O30" s="4"/>
      <c r="P30" s="4"/>
      <c r="Q30" s="4"/>
      <c r="R30" s="4"/>
      <c r="S30" s="4"/>
      <c r="T30" s="4"/>
      <c r="U30" s="4"/>
      <c r="V30" s="4"/>
      <c r="W30" s="4"/>
      <c r="X30" s="4"/>
      <c r="Y30" s="4"/>
      <c r="Z30" s="4"/>
    </row>
    <row r="31">
      <c r="A31" s="6" t="s">
        <v>29</v>
      </c>
      <c r="B31" s="6">
        <v>0.0</v>
      </c>
      <c r="C31" s="6">
        <v>0.0</v>
      </c>
      <c r="D31" s="6">
        <v>0.0</v>
      </c>
      <c r="E31" s="6">
        <v>0.0</v>
      </c>
      <c r="F31" s="6">
        <v>0.0</v>
      </c>
      <c r="G31" s="7"/>
      <c r="H31" s="4"/>
      <c r="I31" s="4"/>
      <c r="J31" s="4"/>
      <c r="K31" s="4"/>
      <c r="L31" s="4"/>
      <c r="M31" s="4"/>
      <c r="N31" s="4"/>
      <c r="O31" s="4"/>
      <c r="P31" s="4"/>
      <c r="Q31" s="4"/>
      <c r="R31" s="4"/>
      <c r="S31" s="4"/>
      <c r="T31" s="4"/>
      <c r="U31" s="4"/>
      <c r="V31" s="4"/>
      <c r="W31" s="4"/>
      <c r="X31" s="4"/>
      <c r="Y31" s="4"/>
      <c r="Z31" s="4"/>
    </row>
    <row r="32">
      <c r="A32" s="6" t="s">
        <v>30</v>
      </c>
      <c r="B32" s="6">
        <v>0.0</v>
      </c>
      <c r="C32" s="6">
        <v>0.0</v>
      </c>
      <c r="D32" s="6">
        <v>0.0</v>
      </c>
      <c r="E32" s="6">
        <v>0.0</v>
      </c>
      <c r="F32" s="6">
        <v>0.0</v>
      </c>
      <c r="G32" s="7"/>
      <c r="H32" s="4"/>
      <c r="I32" s="4"/>
      <c r="J32" s="4"/>
      <c r="K32" s="4"/>
      <c r="L32" s="4"/>
      <c r="M32" s="4"/>
      <c r="N32" s="4"/>
      <c r="O32" s="4"/>
      <c r="P32" s="4"/>
      <c r="Q32" s="4"/>
      <c r="R32" s="4"/>
      <c r="S32" s="4"/>
      <c r="T32" s="4"/>
      <c r="U32" s="4"/>
      <c r="V32" s="4"/>
      <c r="W32" s="4"/>
      <c r="X32" s="4"/>
      <c r="Y32" s="4"/>
      <c r="Z32" s="4"/>
    </row>
    <row r="33">
      <c r="A33" s="6" t="s">
        <v>31</v>
      </c>
      <c r="B33" s="6">
        <v>0.0</v>
      </c>
      <c r="C33" s="6">
        <v>0.0</v>
      </c>
      <c r="D33" s="6">
        <v>0.88</v>
      </c>
      <c r="E33" s="6">
        <v>5.48</v>
      </c>
      <c r="F33" s="6">
        <v>4.07</v>
      </c>
      <c r="G33" s="7"/>
      <c r="H33" s="4"/>
      <c r="I33" s="4"/>
      <c r="J33" s="4"/>
      <c r="K33" s="4"/>
      <c r="L33" s="4"/>
      <c r="M33" s="4"/>
      <c r="N33" s="4"/>
      <c r="O33" s="4"/>
      <c r="P33" s="4"/>
      <c r="Q33" s="4"/>
      <c r="R33" s="4"/>
      <c r="S33" s="4"/>
      <c r="T33" s="4"/>
      <c r="U33" s="4"/>
      <c r="V33" s="4"/>
      <c r="W33" s="4"/>
      <c r="X33" s="4"/>
      <c r="Y33" s="4"/>
      <c r="Z33" s="4"/>
    </row>
    <row r="34">
      <c r="A34" s="6" t="s">
        <v>32</v>
      </c>
      <c r="B34" s="6">
        <v>27.26</v>
      </c>
      <c r="C34" s="6">
        <v>43.19</v>
      </c>
      <c r="D34" s="6">
        <v>15.44</v>
      </c>
      <c r="E34" s="6">
        <v>3.41</v>
      </c>
      <c r="F34" s="6">
        <v>5.92</v>
      </c>
      <c r="G34" s="7"/>
      <c r="H34" s="4"/>
      <c r="I34" s="4"/>
      <c r="J34" s="4"/>
      <c r="K34" s="4"/>
      <c r="L34" s="4"/>
      <c r="M34" s="4"/>
      <c r="N34" s="4"/>
      <c r="O34" s="4"/>
      <c r="P34" s="4"/>
      <c r="Q34" s="4"/>
      <c r="R34" s="4"/>
      <c r="S34" s="4"/>
      <c r="T34" s="4"/>
      <c r="U34" s="4"/>
      <c r="V34" s="4"/>
      <c r="W34" s="4"/>
      <c r="X34" s="4"/>
      <c r="Y34" s="4"/>
      <c r="Z34" s="4"/>
    </row>
    <row r="35">
      <c r="A35" s="11" t="s">
        <v>33</v>
      </c>
      <c r="B35" s="11">
        <v>542.86</v>
      </c>
      <c r="C35" s="11">
        <v>347.5</v>
      </c>
      <c r="D35" s="11">
        <v>268.76</v>
      </c>
      <c r="E35" s="11">
        <v>210.73</v>
      </c>
      <c r="F35" s="11">
        <v>162.95</v>
      </c>
      <c r="G35" s="3"/>
      <c r="H35" s="4"/>
      <c r="I35" s="4"/>
      <c r="J35" s="4"/>
      <c r="K35" s="4"/>
      <c r="L35" s="4"/>
      <c r="M35" s="4"/>
      <c r="N35" s="4"/>
      <c r="O35" s="4"/>
      <c r="P35" s="4"/>
      <c r="Q35" s="4"/>
      <c r="R35" s="4"/>
      <c r="S35" s="4"/>
      <c r="T35" s="4"/>
      <c r="U35" s="4"/>
      <c r="V35" s="4"/>
      <c r="W35" s="4"/>
      <c r="X35" s="4"/>
      <c r="Y35" s="4"/>
      <c r="Z35" s="4"/>
    </row>
    <row r="36">
      <c r="A36" s="8" t="s">
        <v>34</v>
      </c>
      <c r="B36" s="10"/>
      <c r="C36" s="10"/>
      <c r="D36" s="10"/>
      <c r="E36" s="10"/>
      <c r="F36" s="10"/>
      <c r="G36" s="10"/>
      <c r="H36" s="4"/>
      <c r="I36" s="4"/>
      <c r="J36" s="4"/>
      <c r="K36" s="4"/>
      <c r="L36" s="4"/>
      <c r="M36" s="4"/>
      <c r="N36" s="4"/>
      <c r="O36" s="4"/>
      <c r="P36" s="4"/>
      <c r="Q36" s="4"/>
      <c r="R36" s="4"/>
      <c r="S36" s="4"/>
      <c r="T36" s="4"/>
      <c r="U36" s="4"/>
      <c r="V36" s="4"/>
      <c r="W36" s="4"/>
      <c r="X36" s="4"/>
      <c r="Y36" s="4"/>
      <c r="Z36" s="4"/>
    </row>
    <row r="37">
      <c r="A37" s="6" t="s">
        <v>35</v>
      </c>
      <c r="B37" s="6">
        <v>131.69</v>
      </c>
      <c r="C37" s="6">
        <v>173.1</v>
      </c>
      <c r="D37" s="6">
        <v>49.68</v>
      </c>
      <c r="E37" s="6">
        <v>20.84</v>
      </c>
      <c r="F37" s="6">
        <v>19.7</v>
      </c>
      <c r="G37" s="7"/>
      <c r="H37" s="4"/>
      <c r="I37" s="4"/>
      <c r="J37" s="4"/>
      <c r="K37" s="4"/>
      <c r="L37" s="4"/>
      <c r="M37" s="4"/>
      <c r="N37" s="4"/>
      <c r="O37" s="4"/>
      <c r="P37" s="4"/>
      <c r="Q37" s="4"/>
      <c r="R37" s="4"/>
      <c r="S37" s="4"/>
      <c r="T37" s="4"/>
      <c r="U37" s="4"/>
      <c r="V37" s="4"/>
      <c r="W37" s="4"/>
      <c r="X37" s="4"/>
      <c r="Y37" s="4"/>
      <c r="Z37" s="4"/>
    </row>
    <row r="38">
      <c r="A38" s="6" t="s">
        <v>36</v>
      </c>
      <c r="B38" s="6">
        <v>117.66</v>
      </c>
      <c r="C38" s="6">
        <v>117.72</v>
      </c>
      <c r="D38" s="6">
        <v>94.67</v>
      </c>
      <c r="E38" s="6">
        <v>76.76</v>
      </c>
      <c r="F38" s="6">
        <v>69.33</v>
      </c>
      <c r="G38" s="7"/>
      <c r="H38" s="4"/>
      <c r="I38" s="4"/>
      <c r="J38" s="4"/>
      <c r="K38" s="4"/>
      <c r="L38" s="4"/>
      <c r="M38" s="4"/>
      <c r="N38" s="4"/>
      <c r="O38" s="4"/>
      <c r="P38" s="4"/>
      <c r="Q38" s="4"/>
      <c r="R38" s="4"/>
      <c r="S38" s="4"/>
      <c r="T38" s="4"/>
      <c r="U38" s="4"/>
      <c r="V38" s="4"/>
      <c r="W38" s="4"/>
      <c r="X38" s="4"/>
      <c r="Y38" s="4"/>
      <c r="Z38" s="4"/>
    </row>
    <row r="39">
      <c r="A39" s="6" t="s">
        <v>37</v>
      </c>
      <c r="B39" s="6">
        <v>200.11</v>
      </c>
      <c r="C39" s="6">
        <v>171.65</v>
      </c>
      <c r="D39" s="6">
        <v>121.19</v>
      </c>
      <c r="E39" s="6">
        <v>104.47</v>
      </c>
      <c r="F39" s="6">
        <v>103.85</v>
      </c>
      <c r="G39" s="7"/>
      <c r="H39" s="4"/>
      <c r="I39" s="4"/>
      <c r="J39" s="4"/>
      <c r="K39" s="4"/>
      <c r="L39" s="4"/>
      <c r="M39" s="4"/>
      <c r="N39" s="4"/>
      <c r="O39" s="4"/>
      <c r="P39" s="4"/>
      <c r="Q39" s="4"/>
      <c r="R39" s="4"/>
      <c r="S39" s="4"/>
      <c r="T39" s="4"/>
      <c r="U39" s="4"/>
      <c r="V39" s="4"/>
      <c r="W39" s="4"/>
      <c r="X39" s="4"/>
      <c r="Y39" s="4"/>
      <c r="Z39" s="4"/>
    </row>
    <row r="40">
      <c r="A40" s="6" t="s">
        <v>38</v>
      </c>
      <c r="B40" s="6">
        <v>48.79</v>
      </c>
      <c r="C40" s="6">
        <v>99.62</v>
      </c>
      <c r="D40" s="6">
        <v>258.31</v>
      </c>
      <c r="E40" s="6">
        <v>5.68</v>
      </c>
      <c r="F40" s="6">
        <v>13.85</v>
      </c>
      <c r="G40" s="7"/>
      <c r="H40" s="4"/>
      <c r="I40" s="4"/>
      <c r="J40" s="4"/>
      <c r="K40" s="4"/>
      <c r="L40" s="4"/>
      <c r="M40" s="4"/>
      <c r="N40" s="4"/>
      <c r="O40" s="4"/>
      <c r="P40" s="4"/>
      <c r="Q40" s="4"/>
      <c r="R40" s="4"/>
      <c r="S40" s="4"/>
      <c r="T40" s="4"/>
      <c r="U40" s="4"/>
      <c r="V40" s="4"/>
      <c r="W40" s="4"/>
      <c r="X40" s="4"/>
      <c r="Y40" s="4"/>
      <c r="Z40" s="4"/>
    </row>
    <row r="41">
      <c r="A41" s="6" t="s">
        <v>39</v>
      </c>
      <c r="B41" s="6">
        <v>0.0</v>
      </c>
      <c r="C41" s="6">
        <v>0.0</v>
      </c>
      <c r="D41" s="6">
        <v>3.67</v>
      </c>
      <c r="E41" s="6">
        <v>0.32</v>
      </c>
      <c r="F41" s="6">
        <v>0.33</v>
      </c>
      <c r="G41" s="7"/>
      <c r="H41" s="4"/>
      <c r="I41" s="4"/>
      <c r="J41" s="4"/>
      <c r="K41" s="4"/>
      <c r="L41" s="4"/>
      <c r="M41" s="4"/>
      <c r="N41" s="4"/>
      <c r="O41" s="4"/>
      <c r="P41" s="4"/>
      <c r="Q41" s="4"/>
      <c r="R41" s="4"/>
      <c r="S41" s="4"/>
      <c r="T41" s="4"/>
      <c r="U41" s="4"/>
      <c r="V41" s="4"/>
      <c r="W41" s="4"/>
      <c r="X41" s="4"/>
      <c r="Y41" s="4"/>
      <c r="Z41" s="4"/>
    </row>
    <row r="42">
      <c r="A42" s="6" t="s">
        <v>40</v>
      </c>
      <c r="B42" s="6">
        <v>20.49</v>
      </c>
      <c r="C42" s="6">
        <v>10.3</v>
      </c>
      <c r="D42" s="6">
        <v>14.88</v>
      </c>
      <c r="E42" s="6">
        <v>3.16</v>
      </c>
      <c r="F42" s="6">
        <v>3.18</v>
      </c>
      <c r="G42" s="7"/>
      <c r="H42" s="4"/>
      <c r="I42" s="4"/>
      <c r="J42" s="4"/>
      <c r="K42" s="4"/>
      <c r="L42" s="4"/>
      <c r="M42" s="4"/>
      <c r="N42" s="4"/>
      <c r="O42" s="4"/>
      <c r="P42" s="4"/>
      <c r="Q42" s="4"/>
      <c r="R42" s="4"/>
      <c r="S42" s="4"/>
      <c r="T42" s="4"/>
      <c r="U42" s="4"/>
      <c r="V42" s="4"/>
      <c r="W42" s="4"/>
      <c r="X42" s="4"/>
      <c r="Y42" s="4"/>
      <c r="Z42" s="4"/>
    </row>
    <row r="43">
      <c r="A43" s="11" t="s">
        <v>41</v>
      </c>
      <c r="B43" s="11">
        <v>518.74</v>
      </c>
      <c r="C43" s="11">
        <v>572.39</v>
      </c>
      <c r="D43" s="11">
        <v>542.4</v>
      </c>
      <c r="E43" s="11">
        <v>211.23</v>
      </c>
      <c r="F43" s="11">
        <v>210.24</v>
      </c>
      <c r="G43" s="3"/>
      <c r="H43" s="4"/>
      <c r="I43" s="4"/>
      <c r="J43" s="4"/>
      <c r="K43" s="4"/>
      <c r="L43" s="4"/>
      <c r="M43" s="4"/>
      <c r="N43" s="4"/>
      <c r="O43" s="4"/>
      <c r="P43" s="4"/>
      <c r="Q43" s="4"/>
      <c r="R43" s="4"/>
      <c r="S43" s="4"/>
      <c r="T43" s="4"/>
      <c r="U43" s="4"/>
      <c r="V43" s="4"/>
      <c r="W43" s="4"/>
      <c r="X43" s="4"/>
      <c r="Y43" s="4"/>
      <c r="Z43" s="4"/>
    </row>
    <row r="44">
      <c r="A44" s="11" t="s">
        <v>42</v>
      </c>
      <c r="B44" s="12">
        <v>1061.6</v>
      </c>
      <c r="C44" s="11">
        <v>919.89</v>
      </c>
      <c r="D44" s="11">
        <v>811.16</v>
      </c>
      <c r="E44" s="11">
        <v>421.96</v>
      </c>
      <c r="F44" s="11">
        <v>373.18</v>
      </c>
      <c r="G44" s="3"/>
      <c r="H44" s="4"/>
      <c r="I44" s="4"/>
      <c r="J44" s="4"/>
      <c r="K44" s="4"/>
      <c r="L44" s="4"/>
      <c r="M44" s="4"/>
      <c r="N44" s="4"/>
      <c r="O44" s="4"/>
      <c r="P44" s="4"/>
      <c r="Q44" s="4"/>
      <c r="R44" s="4"/>
      <c r="S44" s="4"/>
      <c r="T44" s="4"/>
      <c r="U44" s="4"/>
      <c r="V44" s="4"/>
      <c r="W44" s="4"/>
      <c r="X44" s="4"/>
      <c r="Y44" s="4"/>
      <c r="Z44" s="4"/>
    </row>
    <row r="45">
      <c r="A45" s="8" t="s">
        <v>43</v>
      </c>
      <c r="B45" s="10"/>
      <c r="C45" s="10"/>
      <c r="D45" s="10"/>
      <c r="E45" s="10"/>
      <c r="F45" s="10"/>
      <c r="G45" s="10"/>
      <c r="H45" s="4"/>
      <c r="I45" s="4"/>
      <c r="J45" s="4"/>
      <c r="K45" s="4"/>
      <c r="L45" s="4"/>
      <c r="M45" s="4"/>
      <c r="N45" s="4"/>
      <c r="O45" s="4"/>
      <c r="P45" s="4"/>
      <c r="Q45" s="4"/>
      <c r="R45" s="4"/>
      <c r="S45" s="4"/>
      <c r="T45" s="4"/>
      <c r="U45" s="4"/>
      <c r="V45" s="4"/>
      <c r="W45" s="4"/>
      <c r="X45" s="4"/>
      <c r="Y45" s="4"/>
      <c r="Z45" s="4"/>
    </row>
    <row r="46">
      <c r="A46" s="8" t="s">
        <v>44</v>
      </c>
      <c r="B46" s="10"/>
      <c r="C46" s="10"/>
      <c r="D46" s="10"/>
      <c r="E46" s="10"/>
      <c r="F46" s="10"/>
      <c r="G46" s="10"/>
      <c r="H46" s="4"/>
      <c r="I46" s="4"/>
      <c r="J46" s="4"/>
      <c r="K46" s="4"/>
      <c r="L46" s="4"/>
      <c r="M46" s="4"/>
      <c r="N46" s="4"/>
      <c r="O46" s="4"/>
      <c r="P46" s="4"/>
      <c r="Q46" s="4"/>
      <c r="R46" s="4"/>
      <c r="S46" s="4"/>
      <c r="T46" s="4"/>
      <c r="U46" s="4"/>
      <c r="V46" s="4"/>
      <c r="W46" s="4"/>
      <c r="X46" s="4"/>
      <c r="Y46" s="4"/>
      <c r="Z46" s="4"/>
    </row>
    <row r="47">
      <c r="A47" s="6" t="s">
        <v>45</v>
      </c>
      <c r="B47" s="6">
        <v>51.97</v>
      </c>
      <c r="C47" s="6">
        <v>141.38</v>
      </c>
      <c r="D47" s="6">
        <v>68.79</v>
      </c>
      <c r="E47" s="6">
        <v>1.73</v>
      </c>
      <c r="F47" s="6">
        <v>15.34</v>
      </c>
      <c r="G47" s="7"/>
      <c r="H47" s="4"/>
      <c r="I47" s="4"/>
      <c r="J47" s="4"/>
      <c r="K47" s="4"/>
      <c r="L47" s="4"/>
      <c r="M47" s="4"/>
      <c r="N47" s="4"/>
      <c r="O47" s="4"/>
      <c r="P47" s="4"/>
      <c r="Q47" s="4"/>
      <c r="R47" s="4"/>
      <c r="S47" s="4"/>
      <c r="T47" s="4"/>
      <c r="U47" s="4"/>
      <c r="V47" s="4"/>
      <c r="W47" s="4"/>
      <c r="X47" s="4"/>
      <c r="Y47" s="4"/>
      <c r="Z47" s="4"/>
    </row>
    <row r="48">
      <c r="A48" s="8" t="s">
        <v>46</v>
      </c>
      <c r="B48" s="10"/>
      <c r="C48" s="10"/>
      <c r="D48" s="10"/>
      <c r="E48" s="10"/>
      <c r="F48" s="10"/>
      <c r="G48" s="10"/>
      <c r="H48" s="4"/>
      <c r="I48" s="4"/>
      <c r="J48" s="4"/>
      <c r="K48" s="4"/>
      <c r="L48" s="4"/>
      <c r="M48" s="4"/>
      <c r="N48" s="4"/>
      <c r="O48" s="4"/>
      <c r="P48" s="4"/>
      <c r="Q48" s="4"/>
      <c r="R48" s="4"/>
      <c r="S48" s="4"/>
      <c r="T48" s="4"/>
      <c r="U48" s="4"/>
      <c r="V48" s="4"/>
      <c r="W48" s="4"/>
      <c r="X48" s="4"/>
      <c r="Y48" s="4"/>
      <c r="Z48" s="4"/>
    </row>
    <row r="49">
      <c r="A49" s="6" t="s">
        <v>47</v>
      </c>
      <c r="B49" s="6">
        <v>0.0</v>
      </c>
      <c r="C49" s="6">
        <v>0.0</v>
      </c>
      <c r="D49" s="6">
        <v>0.0</v>
      </c>
      <c r="E49" s="6">
        <v>0.0</v>
      </c>
      <c r="F49" s="6">
        <v>0.0</v>
      </c>
      <c r="G49" s="7"/>
      <c r="H49" s="4"/>
      <c r="I49" s="4"/>
      <c r="J49" s="4"/>
      <c r="K49" s="4"/>
      <c r="L49" s="4"/>
      <c r="M49" s="4"/>
      <c r="N49" s="4"/>
      <c r="O49" s="4"/>
      <c r="P49" s="4"/>
      <c r="Q49" s="4"/>
      <c r="R49" s="4"/>
      <c r="S49" s="4"/>
      <c r="T49" s="4"/>
      <c r="U49" s="4"/>
      <c r="V49" s="4"/>
      <c r="W49" s="4"/>
      <c r="X49" s="4"/>
      <c r="Y49" s="4"/>
      <c r="Z49" s="4"/>
    </row>
    <row r="50">
      <c r="A50" s="6" t="s">
        <v>48</v>
      </c>
      <c r="B50" s="6">
        <v>0.0</v>
      </c>
      <c r="C50" s="6">
        <v>0.0</v>
      </c>
      <c r="D50" s="6">
        <v>0.0</v>
      </c>
      <c r="E50" s="6">
        <v>0.0</v>
      </c>
      <c r="F50" s="6">
        <v>0.0</v>
      </c>
      <c r="G50" s="7"/>
      <c r="H50" s="4"/>
      <c r="I50" s="4"/>
      <c r="J50" s="4"/>
      <c r="K50" s="4"/>
      <c r="L50" s="4"/>
      <c r="M50" s="4"/>
      <c r="N50" s="4"/>
      <c r="O50" s="4"/>
      <c r="P50" s="4"/>
      <c r="Q50" s="4"/>
      <c r="R50" s="4"/>
      <c r="S50" s="4"/>
      <c r="T50" s="4"/>
      <c r="U50" s="4"/>
      <c r="V50" s="4"/>
      <c r="W50" s="4"/>
      <c r="X50" s="4"/>
      <c r="Y50" s="4"/>
      <c r="Z50" s="4"/>
    </row>
    <row r="51">
      <c r="A51" s="6" t="s">
        <v>49</v>
      </c>
      <c r="B51" s="6">
        <v>0.0</v>
      </c>
      <c r="C51" s="6">
        <v>0.0</v>
      </c>
      <c r="D51" s="6">
        <v>0.0</v>
      </c>
      <c r="E51" s="6">
        <v>0.0</v>
      </c>
      <c r="F51" s="6">
        <v>0.0</v>
      </c>
      <c r="G51" s="7"/>
      <c r="H51" s="4"/>
      <c r="I51" s="4"/>
      <c r="J51" s="4"/>
      <c r="K51" s="4"/>
      <c r="L51" s="4"/>
      <c r="M51" s="4"/>
      <c r="N51" s="4"/>
      <c r="O51" s="4"/>
      <c r="P51" s="4"/>
      <c r="Q51" s="4"/>
      <c r="R51" s="4"/>
      <c r="S51" s="4"/>
      <c r="T51" s="4"/>
      <c r="U51" s="4"/>
      <c r="V51" s="4"/>
      <c r="W51" s="4"/>
      <c r="X51" s="4"/>
      <c r="Y51" s="4"/>
      <c r="Z51" s="4"/>
    </row>
    <row r="52">
      <c r="A52" s="6" t="s">
        <v>50</v>
      </c>
      <c r="B52" s="6">
        <v>0.0</v>
      </c>
      <c r="C52" s="6">
        <v>0.0</v>
      </c>
      <c r="D52" s="6">
        <v>0.0</v>
      </c>
      <c r="E52" s="6">
        <v>0.0</v>
      </c>
      <c r="F52" s="6">
        <v>0.0</v>
      </c>
      <c r="G52" s="7"/>
      <c r="H52" s="4"/>
      <c r="I52" s="4"/>
      <c r="J52" s="4"/>
      <c r="K52" s="4"/>
      <c r="L52" s="4"/>
      <c r="M52" s="4"/>
      <c r="N52" s="4"/>
      <c r="O52" s="4"/>
      <c r="P52" s="4"/>
      <c r="Q52" s="4"/>
      <c r="R52" s="4"/>
      <c r="S52" s="4"/>
      <c r="T52" s="4"/>
      <c r="U52" s="4"/>
      <c r="V52" s="4"/>
      <c r="W52" s="4"/>
      <c r="X52" s="4"/>
      <c r="Y52" s="4"/>
      <c r="Z52" s="4"/>
    </row>
    <row r="53">
      <c r="A53" s="8" t="s">
        <v>51</v>
      </c>
      <c r="B53" s="10"/>
      <c r="C53" s="10"/>
      <c r="D53" s="10"/>
      <c r="E53" s="10"/>
      <c r="F53" s="10"/>
      <c r="G53" s="10"/>
      <c r="H53" s="4"/>
      <c r="I53" s="4"/>
      <c r="J53" s="4"/>
      <c r="K53" s="4"/>
      <c r="L53" s="4"/>
      <c r="M53" s="4"/>
      <c r="N53" s="4"/>
      <c r="O53" s="4"/>
      <c r="P53" s="4"/>
      <c r="Q53" s="4"/>
      <c r="R53" s="4"/>
      <c r="S53" s="4"/>
      <c r="T53" s="4"/>
      <c r="U53" s="4"/>
      <c r="V53" s="4"/>
      <c r="W53" s="4"/>
      <c r="X53" s="4"/>
      <c r="Y53" s="4"/>
      <c r="Z53" s="4"/>
    </row>
    <row r="54">
      <c r="A54" s="6" t="s">
        <v>52</v>
      </c>
      <c r="B54" s="6">
        <v>43.14</v>
      </c>
      <c r="C54" s="6">
        <v>20.04</v>
      </c>
      <c r="D54" s="6">
        <v>0.0</v>
      </c>
      <c r="E54" s="6">
        <v>7.04</v>
      </c>
      <c r="F54" s="6">
        <v>0.0</v>
      </c>
      <c r="G54" s="7"/>
      <c r="H54" s="4"/>
      <c r="I54" s="4"/>
      <c r="J54" s="4"/>
      <c r="K54" s="4"/>
      <c r="L54" s="4"/>
      <c r="M54" s="4"/>
      <c r="N54" s="4"/>
      <c r="O54" s="4"/>
      <c r="P54" s="4"/>
      <c r="Q54" s="4"/>
      <c r="R54" s="4"/>
      <c r="S54" s="4"/>
      <c r="T54" s="4"/>
      <c r="U54" s="4"/>
      <c r="V54" s="4"/>
      <c r="W54" s="4"/>
      <c r="X54" s="4"/>
      <c r="Y54" s="4"/>
      <c r="Z54" s="4"/>
    </row>
    <row r="55">
      <c r="A55" s="8" t="s">
        <v>53</v>
      </c>
      <c r="B55" s="10"/>
      <c r="C55" s="10"/>
      <c r="D55" s="10"/>
      <c r="E55" s="10"/>
      <c r="F55" s="10"/>
      <c r="G55" s="10"/>
      <c r="H55" s="4"/>
      <c r="I55" s="4"/>
      <c r="J55" s="4"/>
      <c r="K55" s="4"/>
      <c r="L55" s="4"/>
      <c r="M55" s="4"/>
      <c r="N55" s="4"/>
      <c r="O55" s="4"/>
      <c r="P55" s="4"/>
      <c r="Q55" s="4"/>
      <c r="R55" s="4"/>
      <c r="S55" s="4"/>
      <c r="T55" s="4"/>
      <c r="U55" s="4"/>
      <c r="V55" s="4"/>
      <c r="W55" s="4"/>
      <c r="X55" s="4"/>
      <c r="Y55" s="4"/>
      <c r="Z55" s="4"/>
    </row>
    <row r="56">
      <c r="A56" s="6" t="s">
        <v>54</v>
      </c>
      <c r="B56" s="6" t="s">
        <v>55</v>
      </c>
      <c r="C56" s="6" t="s">
        <v>55</v>
      </c>
      <c r="D56" s="6" t="s">
        <v>55</v>
      </c>
      <c r="E56" s="6" t="s">
        <v>55</v>
      </c>
      <c r="F56" s="6" t="s">
        <v>55</v>
      </c>
      <c r="G56" s="7"/>
      <c r="H56" s="4"/>
      <c r="I56" s="4"/>
      <c r="J56" s="4"/>
      <c r="K56" s="4"/>
      <c r="L56" s="4"/>
      <c r="M56" s="4"/>
      <c r="N56" s="4"/>
      <c r="O56" s="4"/>
      <c r="P56" s="4"/>
      <c r="Q56" s="4"/>
      <c r="R56" s="4"/>
      <c r="S56" s="4"/>
      <c r="T56" s="4"/>
      <c r="U56" s="4"/>
      <c r="V56" s="4"/>
      <c r="W56" s="4"/>
      <c r="X56" s="4"/>
      <c r="Y56" s="4"/>
      <c r="Z56" s="4"/>
    </row>
    <row r="57">
      <c r="A57" s="8" t="s">
        <v>56</v>
      </c>
      <c r="B57" s="10"/>
      <c r="C57" s="10"/>
      <c r="D57" s="10"/>
      <c r="E57" s="10"/>
      <c r="F57" s="10"/>
      <c r="G57" s="10"/>
      <c r="H57" s="4"/>
      <c r="I57" s="4"/>
      <c r="J57" s="4"/>
      <c r="K57" s="4"/>
      <c r="L57" s="4"/>
      <c r="M57" s="4"/>
      <c r="N57" s="4"/>
      <c r="O57" s="4"/>
      <c r="P57" s="4"/>
      <c r="Q57" s="4"/>
      <c r="R57" s="4"/>
      <c r="S57" s="4"/>
      <c r="T57" s="4"/>
      <c r="U57" s="4"/>
      <c r="V57" s="4"/>
      <c r="W57" s="4"/>
      <c r="X57" s="4"/>
      <c r="Y57" s="4"/>
      <c r="Z57" s="4"/>
    </row>
    <row r="58">
      <c r="A58" s="6" t="s">
        <v>57</v>
      </c>
      <c r="B58" s="6" t="s">
        <v>55</v>
      </c>
      <c r="C58" s="6" t="s">
        <v>55</v>
      </c>
      <c r="D58" s="6" t="s">
        <v>55</v>
      </c>
      <c r="E58" s="6">
        <v>1.76</v>
      </c>
      <c r="F58" s="6" t="s">
        <v>55</v>
      </c>
      <c r="G58" s="7"/>
      <c r="H58" s="4"/>
      <c r="I58" s="4"/>
      <c r="J58" s="4"/>
      <c r="K58" s="4"/>
      <c r="L58" s="4"/>
      <c r="M58" s="4"/>
      <c r="N58" s="4"/>
      <c r="O58" s="4"/>
      <c r="P58" s="4"/>
      <c r="Q58" s="4"/>
      <c r="R58" s="4"/>
      <c r="S58" s="4"/>
      <c r="T58" s="4"/>
      <c r="U58" s="4"/>
      <c r="V58" s="4"/>
      <c r="W58" s="4"/>
      <c r="X58" s="4"/>
      <c r="Y58" s="4"/>
      <c r="Z58" s="4"/>
    </row>
    <row r="59">
      <c r="A59" s="6" t="s">
        <v>58</v>
      </c>
      <c r="B59" s="6" t="s">
        <v>55</v>
      </c>
      <c r="C59" s="6" t="s">
        <v>55</v>
      </c>
      <c r="D59" s="6">
        <v>574.6</v>
      </c>
      <c r="E59" s="6" t="s">
        <v>55</v>
      </c>
      <c r="F59" s="6" t="s">
        <v>55</v>
      </c>
      <c r="G59" s="7"/>
      <c r="H59" s="4"/>
      <c r="I59" s="4"/>
      <c r="J59" s="4"/>
      <c r="K59" s="4"/>
      <c r="L59" s="4"/>
      <c r="M59" s="4"/>
      <c r="N59" s="4"/>
      <c r="O59" s="4"/>
      <c r="P59" s="4"/>
      <c r="Q59" s="4"/>
      <c r="R59" s="4"/>
      <c r="S59" s="4"/>
      <c r="T59" s="4"/>
      <c r="U59" s="4"/>
      <c r="V59" s="4"/>
      <c r="W59" s="4"/>
      <c r="X59" s="4"/>
      <c r="Y59" s="4"/>
      <c r="Z59" s="4"/>
    </row>
    <row r="60">
      <c r="A60" s="8" t="s">
        <v>59</v>
      </c>
      <c r="B60" s="10"/>
      <c r="C60" s="10"/>
      <c r="D60" s="10"/>
      <c r="E60" s="10"/>
      <c r="F60" s="10"/>
      <c r="G60" s="10"/>
      <c r="H60" s="4"/>
      <c r="I60" s="4"/>
      <c r="J60" s="4"/>
      <c r="K60" s="4"/>
      <c r="L60" s="4"/>
      <c r="M60" s="4"/>
      <c r="N60" s="4"/>
      <c r="O60" s="4"/>
      <c r="P60" s="4"/>
      <c r="Q60" s="4"/>
      <c r="R60" s="4"/>
      <c r="S60" s="4"/>
      <c r="T60" s="4"/>
      <c r="U60" s="4"/>
      <c r="V60" s="4"/>
      <c r="W60" s="4"/>
      <c r="X60" s="4"/>
      <c r="Y60" s="4"/>
      <c r="Z60" s="4"/>
    </row>
    <row r="61">
      <c r="A61" s="6" t="s">
        <v>60</v>
      </c>
      <c r="B61" s="6">
        <v>2.82</v>
      </c>
      <c r="C61" s="6">
        <v>2.82</v>
      </c>
      <c r="D61" s="6">
        <v>2.82</v>
      </c>
      <c r="E61" s="6">
        <v>2.82</v>
      </c>
      <c r="F61" s="6">
        <v>2.82</v>
      </c>
      <c r="G61" s="7"/>
      <c r="H61" s="4"/>
      <c r="I61" s="4"/>
      <c r="J61" s="4"/>
      <c r="K61" s="4"/>
      <c r="L61" s="4"/>
      <c r="M61" s="4"/>
      <c r="N61" s="4"/>
      <c r="O61" s="4"/>
      <c r="P61" s="4"/>
      <c r="Q61" s="4"/>
      <c r="R61" s="4"/>
      <c r="S61" s="4"/>
      <c r="T61" s="4"/>
      <c r="U61" s="4"/>
      <c r="V61" s="4"/>
      <c r="W61" s="4"/>
      <c r="X61" s="4"/>
      <c r="Y61" s="4"/>
      <c r="Z61" s="4"/>
    </row>
    <row r="62">
      <c r="A62" s="8" t="s">
        <v>61</v>
      </c>
      <c r="B62" s="10"/>
      <c r="C62" s="10"/>
      <c r="D62" s="10"/>
      <c r="E62" s="10"/>
      <c r="F62" s="10"/>
      <c r="G62" s="10"/>
      <c r="H62" s="4"/>
      <c r="I62" s="4"/>
      <c r="J62" s="4"/>
      <c r="K62" s="4"/>
      <c r="L62" s="4"/>
      <c r="M62" s="4"/>
      <c r="N62" s="4"/>
      <c r="O62" s="4"/>
      <c r="P62" s="4"/>
      <c r="Q62" s="4"/>
      <c r="R62" s="4"/>
      <c r="S62" s="4"/>
      <c r="T62" s="4"/>
      <c r="U62" s="4"/>
      <c r="V62" s="4"/>
      <c r="W62" s="4"/>
      <c r="X62" s="4"/>
      <c r="Y62" s="4"/>
      <c r="Z62" s="4"/>
    </row>
    <row r="63">
      <c r="A63" s="6" t="s">
        <v>62</v>
      </c>
      <c r="B63" s="6" t="s">
        <v>55</v>
      </c>
      <c r="C63" s="6" t="s">
        <v>55</v>
      </c>
      <c r="D63" s="6">
        <v>49.68</v>
      </c>
      <c r="E63" s="6" t="s">
        <v>55</v>
      </c>
      <c r="F63" s="6" t="s">
        <v>55</v>
      </c>
      <c r="G63" s="7"/>
      <c r="H63" s="4"/>
      <c r="I63" s="4"/>
      <c r="J63" s="4"/>
      <c r="K63" s="4"/>
      <c r="L63" s="4"/>
      <c r="M63" s="4"/>
      <c r="N63" s="4"/>
      <c r="O63" s="4"/>
      <c r="P63" s="4"/>
      <c r="Q63" s="4"/>
      <c r="R63" s="4"/>
      <c r="S63" s="4"/>
      <c r="T63" s="4"/>
      <c r="U63" s="4"/>
      <c r="V63" s="4"/>
      <c r="W63" s="4"/>
      <c r="X63" s="4"/>
      <c r="Y63" s="4"/>
      <c r="Z63" s="4"/>
    </row>
    <row r="64">
      <c r="A64" s="6" t="s">
        <v>63</v>
      </c>
      <c r="B64" s="6" t="s">
        <v>55</v>
      </c>
      <c r="C64" s="6" t="s">
        <v>55</v>
      </c>
      <c r="D64" s="6" t="s">
        <v>55</v>
      </c>
      <c r="E64" s="6" t="s">
        <v>55</v>
      </c>
      <c r="F64" s="6" t="s">
        <v>55</v>
      </c>
      <c r="G64" s="7"/>
      <c r="H64" s="4"/>
      <c r="I64" s="4"/>
      <c r="J64" s="4"/>
      <c r="K64" s="4"/>
      <c r="L64" s="4"/>
      <c r="M64" s="4"/>
      <c r="N64" s="4"/>
      <c r="O64" s="4"/>
      <c r="P64" s="4"/>
      <c r="Q64" s="4"/>
      <c r="R64" s="4"/>
      <c r="S64" s="4"/>
      <c r="T64" s="4"/>
      <c r="U64" s="4"/>
      <c r="V64" s="4"/>
      <c r="W64" s="4"/>
      <c r="X64" s="4"/>
      <c r="Y64" s="4"/>
      <c r="Z64" s="4"/>
    </row>
    <row r="65">
      <c r="A65" s="8" t="s">
        <v>64</v>
      </c>
      <c r="B65" s="10"/>
      <c r="C65" s="10"/>
      <c r="D65" s="10"/>
      <c r="E65" s="10"/>
      <c r="F65" s="10"/>
      <c r="G65" s="10"/>
      <c r="H65" s="4"/>
      <c r="I65" s="4"/>
      <c r="J65" s="4"/>
      <c r="K65" s="4"/>
      <c r="L65" s="4"/>
      <c r="M65" s="4"/>
      <c r="N65" s="4"/>
      <c r="O65" s="4"/>
      <c r="P65" s="4"/>
      <c r="Q65" s="4"/>
      <c r="R65" s="4"/>
      <c r="S65" s="4"/>
      <c r="T65" s="4"/>
      <c r="U65" s="4"/>
      <c r="V65" s="4"/>
      <c r="W65" s="4"/>
      <c r="X65" s="4"/>
      <c r="Y65" s="4"/>
      <c r="Z65" s="4"/>
    </row>
    <row r="66">
      <c r="A66" s="6" t="s">
        <v>65</v>
      </c>
      <c r="B66" s="6">
        <v>131.69</v>
      </c>
      <c r="C66" s="6">
        <v>173.1</v>
      </c>
      <c r="D66" s="6" t="s">
        <v>55</v>
      </c>
      <c r="E66" s="6" t="s">
        <v>55</v>
      </c>
      <c r="F66" s="6" t="s">
        <v>55</v>
      </c>
      <c r="G66" s="7"/>
      <c r="H66" s="4"/>
      <c r="I66" s="4"/>
      <c r="J66" s="4"/>
      <c r="K66" s="4"/>
      <c r="L66" s="4"/>
      <c r="M66" s="4"/>
      <c r="N66" s="4"/>
      <c r="O66" s="4"/>
      <c r="P66" s="4"/>
      <c r="Q66" s="4"/>
      <c r="R66" s="4"/>
      <c r="S66" s="4"/>
      <c r="T66" s="4"/>
      <c r="U66" s="4"/>
      <c r="V66" s="4"/>
      <c r="W66" s="4"/>
      <c r="X66" s="4"/>
      <c r="Y66" s="4"/>
      <c r="Z66" s="4"/>
    </row>
    <row r="67">
      <c r="A67" s="13" t="s">
        <v>66</v>
      </c>
      <c r="B67" s="13" t="s">
        <v>55</v>
      </c>
      <c r="C67" s="13" t="s">
        <v>55</v>
      </c>
      <c r="D67" s="13" t="s">
        <v>55</v>
      </c>
      <c r="E67" s="13" t="s">
        <v>55</v>
      </c>
      <c r="F67" s="13" t="s">
        <v>55</v>
      </c>
      <c r="G67" s="1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63"/>
    <col customWidth="1" min="2" max="2" width="33.75"/>
  </cols>
  <sheetData>
    <row r="1">
      <c r="A1" s="15"/>
      <c r="B1" s="16"/>
      <c r="C1" s="4"/>
      <c r="D1" s="4"/>
      <c r="E1" s="4"/>
      <c r="F1" s="4"/>
      <c r="G1" s="4"/>
      <c r="H1" s="4"/>
      <c r="I1" s="4"/>
      <c r="J1" s="4"/>
      <c r="K1" s="4"/>
      <c r="L1" s="4"/>
      <c r="M1" s="4"/>
      <c r="N1" s="4"/>
      <c r="O1" s="4"/>
      <c r="P1" s="4"/>
      <c r="Q1" s="4"/>
      <c r="R1" s="4"/>
      <c r="S1" s="4"/>
      <c r="T1" s="4"/>
      <c r="U1" s="4"/>
      <c r="V1" s="4"/>
      <c r="W1" s="4"/>
      <c r="X1" s="4"/>
      <c r="Y1" s="4"/>
      <c r="Z1" s="4"/>
    </row>
    <row r="2">
      <c r="A2" s="17" t="s">
        <v>67</v>
      </c>
      <c r="B2" s="17" t="s">
        <v>68</v>
      </c>
      <c r="C2" s="4"/>
      <c r="D2" s="4"/>
      <c r="E2" s="4"/>
      <c r="F2" s="4"/>
      <c r="G2" s="4"/>
      <c r="H2" s="4"/>
      <c r="I2" s="4"/>
      <c r="J2" s="4"/>
      <c r="K2" s="4"/>
      <c r="L2" s="4"/>
      <c r="M2" s="4"/>
      <c r="N2" s="4"/>
      <c r="O2" s="4"/>
      <c r="P2" s="4"/>
      <c r="Q2" s="4"/>
      <c r="R2" s="4"/>
      <c r="S2" s="4"/>
      <c r="T2" s="4"/>
      <c r="U2" s="4"/>
      <c r="V2" s="4"/>
      <c r="W2" s="4"/>
      <c r="X2" s="4"/>
      <c r="Y2" s="4"/>
      <c r="Z2" s="4"/>
    </row>
    <row r="3">
      <c r="A3" s="18"/>
      <c r="B3" s="19">
        <v>45008.0</v>
      </c>
      <c r="C3" s="19">
        <v>45007.0</v>
      </c>
      <c r="D3" s="19">
        <v>45006.0</v>
      </c>
      <c r="E3" s="19">
        <v>45005.0</v>
      </c>
      <c r="F3" s="19">
        <v>45004.0</v>
      </c>
      <c r="G3" s="4"/>
      <c r="H3" s="4"/>
      <c r="I3" s="4"/>
      <c r="J3" s="4"/>
      <c r="K3" s="4"/>
      <c r="L3" s="4"/>
      <c r="M3" s="4"/>
      <c r="N3" s="4"/>
      <c r="O3" s="4"/>
      <c r="P3" s="4"/>
      <c r="Q3" s="4"/>
      <c r="R3" s="4"/>
      <c r="S3" s="4"/>
      <c r="T3" s="4"/>
      <c r="U3" s="4"/>
      <c r="V3" s="4"/>
      <c r="W3" s="4"/>
      <c r="X3" s="4"/>
      <c r="Y3" s="4"/>
      <c r="Z3" s="4"/>
    </row>
    <row r="4">
      <c r="A4" s="20"/>
      <c r="B4" s="21"/>
      <c r="C4" s="21"/>
      <c r="D4" s="21"/>
      <c r="E4" s="21"/>
      <c r="F4" s="21"/>
      <c r="G4" s="21"/>
      <c r="H4" s="21"/>
      <c r="I4" s="21"/>
      <c r="J4" s="21"/>
      <c r="K4" s="22"/>
      <c r="L4" s="4"/>
      <c r="M4" s="4"/>
      <c r="N4" s="4"/>
      <c r="O4" s="4"/>
      <c r="P4" s="4"/>
      <c r="Q4" s="4"/>
      <c r="R4" s="4"/>
      <c r="S4" s="4"/>
      <c r="T4" s="4"/>
      <c r="U4" s="4"/>
      <c r="V4" s="4"/>
      <c r="W4" s="4"/>
      <c r="X4" s="4"/>
      <c r="Y4" s="4"/>
      <c r="Z4" s="4"/>
    </row>
    <row r="5">
      <c r="A5" s="18"/>
      <c r="B5" s="23" t="s">
        <v>1</v>
      </c>
      <c r="C5" s="23" t="s">
        <v>1</v>
      </c>
      <c r="D5" s="23" t="s">
        <v>1</v>
      </c>
      <c r="E5" s="23" t="s">
        <v>1</v>
      </c>
      <c r="F5" s="23" t="s">
        <v>1</v>
      </c>
      <c r="G5" s="4"/>
      <c r="H5" s="4"/>
      <c r="I5" s="4"/>
      <c r="J5" s="4"/>
      <c r="K5" s="4"/>
      <c r="L5" s="4"/>
      <c r="M5" s="4"/>
      <c r="N5" s="4"/>
      <c r="O5" s="4"/>
      <c r="P5" s="4"/>
      <c r="Q5" s="4"/>
      <c r="R5" s="4"/>
      <c r="S5" s="4"/>
      <c r="T5" s="4"/>
      <c r="U5" s="4"/>
      <c r="V5" s="4"/>
      <c r="W5" s="4"/>
      <c r="X5" s="4"/>
      <c r="Y5" s="4"/>
      <c r="Z5" s="4"/>
    </row>
    <row r="6">
      <c r="A6" s="20"/>
      <c r="B6" s="21"/>
      <c r="C6" s="21"/>
      <c r="D6" s="21"/>
      <c r="E6" s="21"/>
      <c r="F6" s="21"/>
      <c r="G6" s="21"/>
      <c r="H6" s="21"/>
      <c r="I6" s="21"/>
      <c r="J6" s="21"/>
      <c r="K6" s="22"/>
      <c r="L6" s="4"/>
      <c r="M6" s="4"/>
      <c r="N6" s="4"/>
      <c r="O6" s="4"/>
      <c r="P6" s="4"/>
      <c r="Q6" s="4"/>
      <c r="R6" s="4"/>
      <c r="S6" s="4"/>
      <c r="T6" s="4"/>
      <c r="U6" s="4"/>
      <c r="V6" s="4"/>
      <c r="W6" s="4"/>
      <c r="X6" s="4"/>
      <c r="Y6" s="4"/>
      <c r="Z6" s="4"/>
    </row>
    <row r="7">
      <c r="A7" s="24" t="s">
        <v>69</v>
      </c>
      <c r="B7" s="22"/>
      <c r="C7" s="18"/>
      <c r="D7" s="18"/>
      <c r="E7" s="18"/>
      <c r="F7" s="18"/>
      <c r="G7" s="4"/>
      <c r="H7" s="4"/>
      <c r="I7" s="4"/>
      <c r="J7" s="4"/>
      <c r="K7" s="4"/>
      <c r="L7" s="4"/>
      <c r="M7" s="4"/>
      <c r="N7" s="4"/>
      <c r="O7" s="4"/>
      <c r="P7" s="4"/>
      <c r="Q7" s="4"/>
      <c r="R7" s="4"/>
      <c r="S7" s="4"/>
      <c r="T7" s="4"/>
      <c r="U7" s="4"/>
      <c r="V7" s="4"/>
      <c r="W7" s="4"/>
      <c r="X7" s="4"/>
      <c r="Y7" s="4"/>
      <c r="Z7" s="4"/>
    </row>
    <row r="8">
      <c r="A8" s="23" t="s">
        <v>70</v>
      </c>
      <c r="B8" s="25">
        <v>1068.33</v>
      </c>
      <c r="C8" s="23">
        <v>901.27</v>
      </c>
      <c r="D8" s="23">
        <v>719.95</v>
      </c>
      <c r="E8" s="23">
        <v>621.82</v>
      </c>
      <c r="F8" s="23">
        <v>532.77</v>
      </c>
      <c r="G8" s="4"/>
      <c r="H8" s="4"/>
      <c r="I8" s="4"/>
      <c r="J8" s="4"/>
      <c r="K8" s="4"/>
      <c r="L8" s="4"/>
      <c r="M8" s="4"/>
      <c r="N8" s="4"/>
      <c r="O8" s="4"/>
      <c r="P8" s="4"/>
      <c r="Q8" s="4"/>
      <c r="R8" s="4"/>
      <c r="S8" s="4"/>
      <c r="T8" s="4"/>
      <c r="U8" s="4"/>
      <c r="V8" s="4"/>
      <c r="W8" s="4"/>
      <c r="X8" s="4"/>
      <c r="Y8" s="4"/>
      <c r="Z8" s="4"/>
    </row>
    <row r="9">
      <c r="A9" s="23" t="s">
        <v>71</v>
      </c>
      <c r="B9" s="25">
        <v>1068.33</v>
      </c>
      <c r="C9" s="23">
        <v>901.27</v>
      </c>
      <c r="D9" s="23">
        <v>719.95</v>
      </c>
      <c r="E9" s="23">
        <v>621.82</v>
      </c>
      <c r="F9" s="23">
        <v>532.77</v>
      </c>
      <c r="G9" s="4"/>
      <c r="H9" s="26"/>
      <c r="I9" s="26"/>
      <c r="J9" s="4"/>
      <c r="K9" s="4"/>
      <c r="L9" s="4"/>
      <c r="M9" s="4"/>
      <c r="N9" s="4"/>
      <c r="O9" s="4"/>
      <c r="P9" s="4"/>
      <c r="Q9" s="4"/>
      <c r="R9" s="4"/>
      <c r="S9" s="4"/>
      <c r="T9" s="4"/>
      <c r="U9" s="4"/>
      <c r="V9" s="4"/>
      <c r="W9" s="4"/>
      <c r="X9" s="4"/>
      <c r="Y9" s="4"/>
      <c r="Z9" s="4"/>
    </row>
    <row r="10">
      <c r="A10" s="23" t="s">
        <v>72</v>
      </c>
      <c r="B10" s="23">
        <v>5.01</v>
      </c>
      <c r="C10" s="23">
        <v>4.71</v>
      </c>
      <c r="D10" s="23">
        <v>3.37</v>
      </c>
      <c r="E10" s="23">
        <v>2.97</v>
      </c>
      <c r="F10" s="23">
        <v>2.86</v>
      </c>
      <c r="G10" s="4"/>
      <c r="H10" s="4"/>
      <c r="I10" s="4"/>
      <c r="J10" s="4"/>
      <c r="K10" s="4"/>
      <c r="L10" s="4"/>
      <c r="M10" s="4"/>
      <c r="N10" s="4"/>
      <c r="O10" s="4"/>
      <c r="P10" s="4"/>
      <c r="Q10" s="4"/>
      <c r="R10" s="4"/>
      <c r="S10" s="4"/>
      <c r="T10" s="4"/>
      <c r="U10" s="4"/>
      <c r="V10" s="4"/>
      <c r="W10" s="4"/>
      <c r="X10" s="4"/>
      <c r="Y10" s="4"/>
      <c r="Z10" s="4"/>
    </row>
    <row r="11">
      <c r="A11" s="23" t="s">
        <v>73</v>
      </c>
      <c r="B11" s="25">
        <v>1073.33</v>
      </c>
      <c r="C11" s="23">
        <v>905.97</v>
      </c>
      <c r="D11" s="23">
        <v>723.32</v>
      </c>
      <c r="E11" s="23">
        <v>624.79</v>
      </c>
      <c r="F11" s="23">
        <v>535.63</v>
      </c>
      <c r="G11" s="4"/>
      <c r="H11" s="4"/>
      <c r="I11" s="4"/>
      <c r="J11" s="4"/>
      <c r="K11" s="4"/>
      <c r="L11" s="4"/>
      <c r="M11" s="4"/>
      <c r="N11" s="4"/>
      <c r="O11" s="4"/>
      <c r="P11" s="4"/>
      <c r="Q11" s="4"/>
      <c r="R11" s="4"/>
      <c r="S11" s="4"/>
      <c r="T11" s="4"/>
      <c r="U11" s="4"/>
      <c r="V11" s="4"/>
      <c r="W11" s="4"/>
      <c r="X11" s="4"/>
      <c r="Y11" s="4"/>
      <c r="Z11" s="4"/>
    </row>
    <row r="12">
      <c r="A12" s="23" t="s">
        <v>74</v>
      </c>
      <c r="B12" s="23">
        <v>10.07</v>
      </c>
      <c r="C12" s="23">
        <v>10.89</v>
      </c>
      <c r="D12" s="23">
        <v>3.59</v>
      </c>
      <c r="E12" s="23">
        <v>1.61</v>
      </c>
      <c r="F12" s="23">
        <v>1.62</v>
      </c>
      <c r="G12" s="4"/>
      <c r="H12" s="4"/>
      <c r="I12" s="4"/>
      <c r="J12" s="4"/>
      <c r="K12" s="4"/>
      <c r="L12" s="4"/>
      <c r="M12" s="4"/>
      <c r="N12" s="4"/>
      <c r="O12" s="4"/>
      <c r="P12" s="4"/>
      <c r="Q12" s="4"/>
      <c r="R12" s="4"/>
      <c r="S12" s="4"/>
      <c r="T12" s="4"/>
      <c r="U12" s="4"/>
      <c r="V12" s="4"/>
      <c r="W12" s="4"/>
      <c r="X12" s="4"/>
      <c r="Y12" s="4"/>
      <c r="Z12" s="4"/>
    </row>
    <row r="13">
      <c r="A13" s="27" t="s">
        <v>75</v>
      </c>
      <c r="B13" s="28">
        <v>1083.4</v>
      </c>
      <c r="C13" s="27">
        <v>916.87</v>
      </c>
      <c r="D13" s="27">
        <v>726.92</v>
      </c>
      <c r="E13" s="27">
        <v>626.41</v>
      </c>
      <c r="F13" s="27">
        <v>537.25</v>
      </c>
      <c r="G13" s="4"/>
      <c r="H13" s="4"/>
      <c r="I13" s="4"/>
      <c r="J13" s="4"/>
      <c r="K13" s="4"/>
      <c r="L13" s="4"/>
      <c r="M13" s="4"/>
      <c r="N13" s="4"/>
      <c r="O13" s="4"/>
      <c r="P13" s="4"/>
      <c r="Q13" s="4"/>
      <c r="R13" s="4"/>
      <c r="S13" s="4"/>
      <c r="T13" s="4"/>
      <c r="U13" s="4"/>
      <c r="V13" s="4"/>
      <c r="W13" s="4"/>
      <c r="X13" s="4"/>
      <c r="Y13" s="4"/>
      <c r="Z13" s="4"/>
    </row>
    <row r="14">
      <c r="A14" s="24" t="s">
        <v>76</v>
      </c>
      <c r="B14" s="22"/>
      <c r="C14" s="18"/>
      <c r="D14" s="18"/>
      <c r="E14" s="18"/>
      <c r="F14" s="18"/>
      <c r="G14" s="4"/>
      <c r="H14" s="4"/>
      <c r="I14" s="4"/>
      <c r="J14" s="4"/>
      <c r="K14" s="4"/>
      <c r="L14" s="4"/>
      <c r="M14" s="4"/>
      <c r="N14" s="4"/>
      <c r="O14" s="4"/>
      <c r="P14" s="4"/>
      <c r="Q14" s="4"/>
      <c r="R14" s="4"/>
      <c r="S14" s="4"/>
      <c r="T14" s="4"/>
      <c r="U14" s="4"/>
      <c r="V14" s="4"/>
      <c r="W14" s="4"/>
      <c r="X14" s="4"/>
      <c r="Y14" s="4"/>
      <c r="Z14" s="4"/>
    </row>
    <row r="15">
      <c r="A15" s="23" t="s">
        <v>77</v>
      </c>
      <c r="B15" s="23">
        <v>576.33</v>
      </c>
      <c r="C15" s="23">
        <v>508.88</v>
      </c>
      <c r="D15" s="23">
        <v>363.95</v>
      </c>
      <c r="E15" s="23">
        <v>321.13</v>
      </c>
      <c r="F15" s="23">
        <v>296.52</v>
      </c>
      <c r="G15" s="4"/>
      <c r="H15" s="4"/>
      <c r="I15" s="4"/>
      <c r="J15" s="4"/>
      <c r="K15" s="4"/>
      <c r="L15" s="4"/>
      <c r="M15" s="4"/>
      <c r="N15" s="4"/>
      <c r="O15" s="4"/>
      <c r="P15" s="4"/>
      <c r="Q15" s="4"/>
      <c r="R15" s="4"/>
      <c r="S15" s="4"/>
      <c r="T15" s="4"/>
      <c r="U15" s="4"/>
      <c r="V15" s="4"/>
      <c r="W15" s="4"/>
      <c r="X15" s="4"/>
      <c r="Y15" s="4"/>
      <c r="Z15" s="4"/>
    </row>
    <row r="16">
      <c r="A16" s="23" t="s">
        <v>78</v>
      </c>
      <c r="B16" s="23">
        <v>20.57</v>
      </c>
      <c r="C16" s="23">
        <v>19.26</v>
      </c>
      <c r="D16" s="23">
        <v>17.83</v>
      </c>
      <c r="E16" s="23">
        <v>10.86</v>
      </c>
      <c r="F16" s="23">
        <v>8.13</v>
      </c>
      <c r="G16" s="4"/>
      <c r="H16" s="4"/>
      <c r="I16" s="4"/>
      <c r="J16" s="4"/>
      <c r="K16" s="4"/>
      <c r="L16" s="4"/>
      <c r="M16" s="4"/>
      <c r="N16" s="4"/>
      <c r="O16" s="4"/>
      <c r="P16" s="4"/>
      <c r="Q16" s="4"/>
      <c r="R16" s="4"/>
      <c r="S16" s="4"/>
      <c r="T16" s="4"/>
      <c r="U16" s="4"/>
      <c r="V16" s="4"/>
      <c r="W16" s="4"/>
      <c r="X16" s="4"/>
      <c r="Y16" s="4"/>
      <c r="Z16" s="4"/>
    </row>
    <row r="17">
      <c r="A17" s="23" t="s">
        <v>79</v>
      </c>
      <c r="B17" s="23">
        <v>-1.64</v>
      </c>
      <c r="C17" s="23">
        <v>-14.62</v>
      </c>
      <c r="D17" s="23">
        <v>-5.26</v>
      </c>
      <c r="E17" s="23">
        <v>-10.03</v>
      </c>
      <c r="F17" s="23">
        <v>-6.12</v>
      </c>
      <c r="G17" s="4"/>
      <c r="H17" s="4"/>
      <c r="I17" s="4"/>
      <c r="J17" s="4"/>
      <c r="K17" s="4"/>
      <c r="L17" s="4"/>
      <c r="M17" s="4"/>
      <c r="N17" s="4"/>
      <c r="O17" s="4"/>
      <c r="P17" s="4"/>
      <c r="Q17" s="4"/>
      <c r="R17" s="4"/>
      <c r="S17" s="4"/>
      <c r="T17" s="4"/>
      <c r="U17" s="4"/>
      <c r="V17" s="4"/>
      <c r="W17" s="4"/>
      <c r="X17" s="4"/>
      <c r="Y17" s="4"/>
      <c r="Z17" s="4"/>
    </row>
    <row r="18">
      <c r="A18" s="23" t="s">
        <v>80</v>
      </c>
      <c r="B18" s="23">
        <v>73.1</v>
      </c>
      <c r="C18" s="23">
        <v>56.33</v>
      </c>
      <c r="D18" s="23">
        <v>48.31</v>
      </c>
      <c r="E18" s="23">
        <v>41.99</v>
      </c>
      <c r="F18" s="23">
        <v>36.38</v>
      </c>
      <c r="G18" s="4"/>
      <c r="H18" s="4"/>
      <c r="I18" s="4"/>
      <c r="J18" s="4"/>
      <c r="K18" s="4"/>
      <c r="L18" s="4"/>
      <c r="M18" s="4"/>
      <c r="N18" s="4"/>
      <c r="O18" s="4"/>
      <c r="P18" s="4"/>
      <c r="Q18" s="4"/>
      <c r="R18" s="4"/>
      <c r="S18" s="4"/>
      <c r="T18" s="4"/>
      <c r="U18" s="4"/>
      <c r="V18" s="4"/>
      <c r="W18" s="4"/>
      <c r="X18" s="4"/>
      <c r="Y18" s="4"/>
      <c r="Z18" s="4"/>
    </row>
    <row r="19">
      <c r="A19" s="23" t="s">
        <v>81</v>
      </c>
      <c r="B19" s="23">
        <v>1.38</v>
      </c>
      <c r="C19" s="23">
        <v>1.33</v>
      </c>
      <c r="D19" s="23">
        <v>3.81</v>
      </c>
      <c r="E19" s="23">
        <v>5.59</v>
      </c>
      <c r="F19" s="23">
        <v>4.66</v>
      </c>
      <c r="G19" s="4"/>
      <c r="H19" s="4"/>
      <c r="I19" s="4"/>
      <c r="J19" s="4"/>
      <c r="K19" s="4"/>
      <c r="L19" s="4"/>
      <c r="M19" s="4"/>
      <c r="N19" s="4"/>
      <c r="O19" s="4"/>
      <c r="P19" s="4"/>
      <c r="Q19" s="4"/>
      <c r="R19" s="4"/>
      <c r="S19" s="4"/>
      <c r="T19" s="4"/>
      <c r="U19" s="4"/>
      <c r="V19" s="4"/>
      <c r="W19" s="4"/>
      <c r="X19" s="4"/>
      <c r="Y19" s="4"/>
      <c r="Z19" s="4"/>
    </row>
    <row r="20">
      <c r="A20" s="23" t="s">
        <v>82</v>
      </c>
      <c r="B20" s="23">
        <v>34.35</v>
      </c>
      <c r="C20" s="23">
        <v>31.25</v>
      </c>
      <c r="D20" s="23">
        <v>24.39</v>
      </c>
      <c r="E20" s="23">
        <v>19.61</v>
      </c>
      <c r="F20" s="23">
        <v>17.05</v>
      </c>
      <c r="G20" s="4"/>
      <c r="H20" s="4"/>
      <c r="I20" s="4"/>
      <c r="J20" s="4"/>
      <c r="K20" s="4"/>
      <c r="L20" s="4"/>
      <c r="M20" s="4"/>
      <c r="N20" s="4"/>
      <c r="O20" s="4"/>
      <c r="P20" s="4"/>
      <c r="Q20" s="4"/>
      <c r="R20" s="4"/>
      <c r="S20" s="4"/>
      <c r="T20" s="4"/>
      <c r="U20" s="4"/>
      <c r="V20" s="4"/>
      <c r="W20" s="4"/>
      <c r="X20" s="4"/>
      <c r="Y20" s="4"/>
      <c r="Z20" s="4"/>
    </row>
    <row r="21">
      <c r="A21" s="23" t="s">
        <v>83</v>
      </c>
      <c r="B21" s="23">
        <v>223.45</v>
      </c>
      <c r="C21" s="23">
        <v>200.14</v>
      </c>
      <c r="D21" s="23">
        <v>175.98</v>
      </c>
      <c r="E21" s="23">
        <v>169.82</v>
      </c>
      <c r="F21" s="23">
        <v>146.61</v>
      </c>
      <c r="G21" s="4"/>
      <c r="H21" s="4"/>
      <c r="I21" s="4"/>
      <c r="J21" s="4"/>
      <c r="K21" s="4"/>
      <c r="L21" s="4"/>
      <c r="M21" s="4"/>
      <c r="N21" s="4"/>
      <c r="O21" s="4"/>
      <c r="P21" s="4"/>
      <c r="Q21" s="4"/>
      <c r="R21" s="4"/>
      <c r="S21" s="4"/>
      <c r="T21" s="4"/>
      <c r="U21" s="4"/>
      <c r="V21" s="4"/>
      <c r="W21" s="4"/>
      <c r="X21" s="4"/>
      <c r="Y21" s="4"/>
      <c r="Z21" s="4"/>
    </row>
    <row r="22">
      <c r="A22" s="27" t="s">
        <v>84</v>
      </c>
      <c r="B22" s="27">
        <v>927.52</v>
      </c>
      <c r="C22" s="27">
        <v>802.57</v>
      </c>
      <c r="D22" s="27">
        <v>629.01</v>
      </c>
      <c r="E22" s="27">
        <v>558.98</v>
      </c>
      <c r="F22" s="27">
        <v>503.23</v>
      </c>
      <c r="G22" s="4"/>
      <c r="H22" s="4"/>
      <c r="I22" s="4"/>
      <c r="J22" s="4"/>
      <c r="K22" s="4"/>
      <c r="L22" s="4"/>
      <c r="M22" s="4"/>
      <c r="N22" s="4"/>
      <c r="O22" s="4"/>
      <c r="P22" s="4"/>
      <c r="Q22" s="4"/>
      <c r="R22" s="4"/>
      <c r="S22" s="4"/>
      <c r="T22" s="4"/>
      <c r="U22" s="4"/>
      <c r="V22" s="4"/>
      <c r="W22" s="4"/>
      <c r="X22" s="4"/>
      <c r="Y22" s="4"/>
      <c r="Z22" s="4"/>
    </row>
    <row r="23">
      <c r="A23" s="18"/>
      <c r="B23" s="19">
        <v>45008.0</v>
      </c>
      <c r="C23" s="19">
        <v>45007.0</v>
      </c>
      <c r="D23" s="19">
        <v>45006.0</v>
      </c>
      <c r="E23" s="19">
        <v>45005.0</v>
      </c>
      <c r="F23" s="19">
        <v>45004.0</v>
      </c>
      <c r="G23" s="4"/>
      <c r="H23" s="4"/>
      <c r="I23" s="4"/>
      <c r="J23" s="4"/>
      <c r="K23" s="4"/>
      <c r="L23" s="4"/>
      <c r="M23" s="4"/>
      <c r="N23" s="4"/>
      <c r="O23" s="4"/>
      <c r="P23" s="4"/>
      <c r="Q23" s="4"/>
      <c r="R23" s="4"/>
      <c r="S23" s="4"/>
      <c r="T23" s="4"/>
      <c r="U23" s="4"/>
      <c r="V23" s="4"/>
      <c r="W23" s="4"/>
      <c r="X23" s="4"/>
      <c r="Y23" s="4"/>
      <c r="Z23" s="4"/>
    </row>
    <row r="24">
      <c r="A24" s="20"/>
      <c r="B24" s="21"/>
      <c r="C24" s="21"/>
      <c r="D24" s="21"/>
      <c r="E24" s="21"/>
      <c r="F24" s="21"/>
      <c r="G24" s="21"/>
      <c r="H24" s="21"/>
      <c r="I24" s="21"/>
      <c r="J24" s="21"/>
      <c r="K24" s="22"/>
      <c r="L24" s="4"/>
      <c r="M24" s="4"/>
      <c r="N24" s="4"/>
      <c r="O24" s="4"/>
      <c r="P24" s="4"/>
      <c r="Q24" s="4"/>
      <c r="R24" s="4"/>
      <c r="S24" s="4"/>
      <c r="T24" s="4"/>
      <c r="U24" s="4"/>
      <c r="V24" s="4"/>
      <c r="W24" s="4"/>
      <c r="X24" s="4"/>
      <c r="Y24" s="4"/>
      <c r="Z24" s="4"/>
    </row>
    <row r="25">
      <c r="A25" s="18"/>
      <c r="B25" s="23" t="s">
        <v>1</v>
      </c>
      <c r="C25" s="23" t="s">
        <v>1</v>
      </c>
      <c r="D25" s="23" t="s">
        <v>1</v>
      </c>
      <c r="E25" s="23" t="s">
        <v>1</v>
      </c>
      <c r="F25" s="23" t="s">
        <v>1</v>
      </c>
      <c r="G25" s="4"/>
      <c r="H25" s="4"/>
      <c r="I25" s="4"/>
      <c r="J25" s="4"/>
      <c r="K25" s="4"/>
      <c r="L25" s="4"/>
      <c r="M25" s="4"/>
      <c r="N25" s="4"/>
      <c r="O25" s="4"/>
      <c r="P25" s="4"/>
      <c r="Q25" s="4"/>
      <c r="R25" s="4"/>
      <c r="S25" s="4"/>
      <c r="T25" s="4"/>
      <c r="U25" s="4"/>
      <c r="V25" s="4"/>
      <c r="W25" s="4"/>
      <c r="X25" s="4"/>
      <c r="Y25" s="4"/>
      <c r="Z25" s="4"/>
    </row>
    <row r="26">
      <c r="A26" s="20"/>
      <c r="B26" s="21"/>
      <c r="C26" s="21"/>
      <c r="D26" s="21"/>
      <c r="E26" s="21"/>
      <c r="F26" s="21"/>
      <c r="G26" s="21"/>
      <c r="H26" s="21"/>
      <c r="I26" s="21"/>
      <c r="J26" s="21"/>
      <c r="K26" s="22"/>
      <c r="L26" s="4"/>
      <c r="M26" s="4"/>
      <c r="N26" s="4"/>
      <c r="O26" s="4"/>
      <c r="P26" s="4"/>
      <c r="Q26" s="4"/>
      <c r="R26" s="4"/>
      <c r="S26" s="4"/>
      <c r="T26" s="4"/>
      <c r="U26" s="4"/>
      <c r="V26" s="4"/>
      <c r="W26" s="4"/>
      <c r="X26" s="4"/>
      <c r="Y26" s="4"/>
      <c r="Z26" s="4"/>
    </row>
    <row r="27">
      <c r="A27" s="27" t="s">
        <v>85</v>
      </c>
      <c r="B27" s="27">
        <v>155.88</v>
      </c>
      <c r="C27" s="27">
        <v>114.3</v>
      </c>
      <c r="D27" s="27">
        <v>97.91</v>
      </c>
      <c r="E27" s="27">
        <v>67.43</v>
      </c>
      <c r="F27" s="27">
        <v>34.02</v>
      </c>
      <c r="G27" s="4"/>
      <c r="H27" s="4"/>
      <c r="I27" s="4"/>
      <c r="J27" s="4"/>
      <c r="K27" s="4"/>
      <c r="L27" s="4"/>
      <c r="M27" s="4"/>
      <c r="N27" s="4"/>
      <c r="O27" s="4"/>
      <c r="P27" s="4"/>
      <c r="Q27" s="4"/>
      <c r="R27" s="4"/>
      <c r="S27" s="4"/>
      <c r="T27" s="4"/>
      <c r="U27" s="4"/>
      <c r="V27" s="4"/>
      <c r="W27" s="4"/>
      <c r="X27" s="4"/>
      <c r="Y27" s="4"/>
      <c r="Z27" s="4"/>
    </row>
    <row r="28">
      <c r="A28" s="23" t="s">
        <v>86</v>
      </c>
      <c r="B28" s="23">
        <v>0.0</v>
      </c>
      <c r="C28" s="23">
        <v>0.0</v>
      </c>
      <c r="D28" s="23">
        <v>0.0</v>
      </c>
      <c r="E28" s="23">
        <v>0.0</v>
      </c>
      <c r="F28" s="23">
        <v>-0.3</v>
      </c>
      <c r="G28" s="4"/>
      <c r="H28" s="4"/>
      <c r="I28" s="4"/>
      <c r="J28" s="4"/>
      <c r="K28" s="4"/>
      <c r="L28" s="4"/>
      <c r="M28" s="4"/>
      <c r="N28" s="4"/>
      <c r="O28" s="4"/>
      <c r="P28" s="4"/>
      <c r="Q28" s="4"/>
      <c r="R28" s="4"/>
      <c r="S28" s="4"/>
      <c r="T28" s="4"/>
      <c r="U28" s="4"/>
      <c r="V28" s="4"/>
      <c r="W28" s="4"/>
      <c r="X28" s="4"/>
      <c r="Y28" s="4"/>
      <c r="Z28" s="4"/>
    </row>
    <row r="29">
      <c r="A29" s="23" t="s">
        <v>87</v>
      </c>
      <c r="B29" s="23">
        <v>155.88</v>
      </c>
      <c r="C29" s="23">
        <v>114.3</v>
      </c>
      <c r="D29" s="23">
        <v>97.91</v>
      </c>
      <c r="E29" s="23">
        <v>67.43</v>
      </c>
      <c r="F29" s="23">
        <v>33.71</v>
      </c>
      <c r="G29" s="4"/>
      <c r="H29" s="4"/>
      <c r="I29" s="4"/>
      <c r="J29" s="4"/>
      <c r="K29" s="4"/>
      <c r="L29" s="4"/>
      <c r="M29" s="4"/>
      <c r="N29" s="4"/>
      <c r="O29" s="4"/>
      <c r="P29" s="4"/>
      <c r="Q29" s="4"/>
      <c r="R29" s="4"/>
      <c r="S29" s="4"/>
      <c r="T29" s="4"/>
      <c r="U29" s="4"/>
      <c r="V29" s="4"/>
      <c r="W29" s="4"/>
      <c r="X29" s="4"/>
      <c r="Y29" s="4"/>
      <c r="Z29" s="4"/>
    </row>
    <row r="30">
      <c r="A30" s="24" t="s">
        <v>88</v>
      </c>
      <c r="B30" s="22"/>
      <c r="C30" s="18"/>
      <c r="D30" s="18"/>
      <c r="E30" s="18"/>
      <c r="F30" s="18"/>
      <c r="G30" s="4"/>
      <c r="H30" s="4"/>
      <c r="I30" s="4"/>
      <c r="J30" s="4"/>
      <c r="K30" s="4"/>
      <c r="L30" s="4"/>
      <c r="M30" s="4"/>
      <c r="N30" s="4"/>
      <c r="O30" s="4"/>
      <c r="P30" s="4"/>
      <c r="Q30" s="4"/>
      <c r="R30" s="4"/>
      <c r="S30" s="4"/>
      <c r="T30" s="4"/>
      <c r="U30" s="4"/>
      <c r="V30" s="4"/>
      <c r="W30" s="4"/>
      <c r="X30" s="4"/>
      <c r="Y30" s="4"/>
      <c r="Z30" s="4"/>
    </row>
    <row r="31">
      <c r="A31" s="23" t="s">
        <v>89</v>
      </c>
      <c r="B31" s="23">
        <v>41.8</v>
      </c>
      <c r="C31" s="23">
        <v>28.77</v>
      </c>
      <c r="D31" s="23">
        <v>25.55</v>
      </c>
      <c r="E31" s="23">
        <v>14.71</v>
      </c>
      <c r="F31" s="23">
        <v>4.82</v>
      </c>
      <c r="G31" s="4"/>
      <c r="H31" s="4"/>
      <c r="I31" s="4"/>
      <c r="J31" s="4"/>
      <c r="K31" s="4"/>
      <c r="L31" s="4"/>
      <c r="M31" s="4"/>
      <c r="N31" s="4"/>
      <c r="O31" s="4"/>
      <c r="P31" s="4"/>
      <c r="Q31" s="4"/>
      <c r="R31" s="4"/>
      <c r="S31" s="4"/>
      <c r="T31" s="4"/>
      <c r="U31" s="4"/>
      <c r="V31" s="4"/>
      <c r="W31" s="4"/>
      <c r="X31" s="4"/>
      <c r="Y31" s="4"/>
      <c r="Z31" s="4"/>
    </row>
    <row r="32">
      <c r="A32" s="23" t="s">
        <v>90</v>
      </c>
      <c r="B32" s="23">
        <v>-1.53</v>
      </c>
      <c r="C32" s="23">
        <v>1.47</v>
      </c>
      <c r="D32" s="23">
        <v>2.35</v>
      </c>
      <c r="E32" s="23">
        <v>4.9</v>
      </c>
      <c r="F32" s="23">
        <v>2.02</v>
      </c>
      <c r="G32" s="4"/>
      <c r="H32" s="4"/>
      <c r="I32" s="4"/>
      <c r="J32" s="4"/>
      <c r="K32" s="4"/>
      <c r="L32" s="4"/>
      <c r="M32" s="4"/>
      <c r="N32" s="4"/>
      <c r="O32" s="4"/>
      <c r="P32" s="4"/>
      <c r="Q32" s="4"/>
      <c r="R32" s="4"/>
      <c r="S32" s="4"/>
      <c r="T32" s="4"/>
      <c r="U32" s="4"/>
      <c r="V32" s="4"/>
      <c r="W32" s="4"/>
      <c r="X32" s="4"/>
      <c r="Y32" s="4"/>
      <c r="Z32" s="4"/>
    </row>
    <row r="33">
      <c r="A33" s="23" t="s">
        <v>91</v>
      </c>
      <c r="B33" s="23">
        <v>-16.33</v>
      </c>
      <c r="C33" s="23">
        <v>0.0</v>
      </c>
      <c r="D33" s="23">
        <v>-0.85</v>
      </c>
      <c r="E33" s="23">
        <v>0.0</v>
      </c>
      <c r="F33" s="23">
        <v>0.0</v>
      </c>
      <c r="G33" s="4"/>
      <c r="H33" s="4"/>
      <c r="I33" s="4"/>
      <c r="J33" s="4"/>
      <c r="K33" s="4"/>
      <c r="L33" s="4"/>
      <c r="M33" s="4"/>
      <c r="N33" s="4"/>
      <c r="O33" s="4"/>
      <c r="P33" s="4"/>
      <c r="Q33" s="4"/>
      <c r="R33" s="4"/>
      <c r="S33" s="4"/>
      <c r="T33" s="4"/>
      <c r="U33" s="4"/>
      <c r="V33" s="4"/>
      <c r="W33" s="4"/>
      <c r="X33" s="4"/>
      <c r="Y33" s="4"/>
      <c r="Z33" s="4"/>
    </row>
    <row r="34">
      <c r="A34" s="23" t="s">
        <v>92</v>
      </c>
      <c r="B34" s="23">
        <v>23.94</v>
      </c>
      <c r="C34" s="23">
        <v>30.25</v>
      </c>
      <c r="D34" s="23">
        <v>27.06</v>
      </c>
      <c r="E34" s="23">
        <v>19.61</v>
      </c>
      <c r="F34" s="23">
        <v>6.84</v>
      </c>
      <c r="G34" s="4"/>
      <c r="H34" s="4"/>
      <c r="I34" s="4"/>
      <c r="J34" s="4"/>
      <c r="K34" s="4"/>
      <c r="L34" s="4"/>
      <c r="M34" s="4"/>
      <c r="N34" s="4"/>
      <c r="O34" s="4"/>
      <c r="P34" s="4"/>
      <c r="Q34" s="4"/>
      <c r="R34" s="4"/>
      <c r="S34" s="4"/>
      <c r="T34" s="4"/>
      <c r="U34" s="4"/>
      <c r="V34" s="4"/>
      <c r="W34" s="4"/>
      <c r="X34" s="4"/>
      <c r="Y34" s="4"/>
      <c r="Z34" s="4"/>
    </row>
    <row r="35">
      <c r="A35" s="23" t="s">
        <v>93</v>
      </c>
      <c r="B35" s="23">
        <v>131.94</v>
      </c>
      <c r="C35" s="23">
        <v>84.05</v>
      </c>
      <c r="D35" s="23">
        <v>70.85</v>
      </c>
      <c r="E35" s="23">
        <v>47.81</v>
      </c>
      <c r="F35" s="23">
        <v>26.87</v>
      </c>
      <c r="G35" s="4"/>
      <c r="H35" s="4"/>
      <c r="I35" s="4"/>
      <c r="J35" s="4"/>
      <c r="K35" s="4"/>
      <c r="L35" s="4"/>
      <c r="M35" s="4"/>
      <c r="N35" s="4"/>
      <c r="O35" s="4"/>
      <c r="P35" s="4"/>
      <c r="Q35" s="4"/>
      <c r="R35" s="4"/>
      <c r="S35" s="4"/>
      <c r="T35" s="4"/>
      <c r="U35" s="4"/>
      <c r="V35" s="4"/>
      <c r="W35" s="4"/>
      <c r="X35" s="4"/>
      <c r="Y35" s="4"/>
      <c r="Z35" s="4"/>
    </row>
    <row r="36">
      <c r="A36" s="23" t="s">
        <v>94</v>
      </c>
      <c r="B36" s="23">
        <v>131.94</v>
      </c>
      <c r="C36" s="23">
        <v>84.05</v>
      </c>
      <c r="D36" s="23">
        <v>70.85</v>
      </c>
      <c r="E36" s="23">
        <v>47.81</v>
      </c>
      <c r="F36" s="23">
        <v>26.87</v>
      </c>
      <c r="G36" s="4"/>
      <c r="H36" s="4"/>
      <c r="I36" s="4"/>
      <c r="J36" s="4"/>
      <c r="K36" s="4"/>
      <c r="L36" s="4"/>
      <c r="M36" s="4"/>
      <c r="N36" s="4"/>
      <c r="O36" s="4"/>
      <c r="P36" s="4"/>
      <c r="Q36" s="4"/>
      <c r="R36" s="4"/>
      <c r="S36" s="4"/>
      <c r="T36" s="4"/>
      <c r="U36" s="4"/>
      <c r="V36" s="4"/>
      <c r="W36" s="4"/>
      <c r="X36" s="4"/>
      <c r="Y36" s="4"/>
      <c r="Z36" s="4"/>
    </row>
    <row r="37">
      <c r="A37" s="27" t="s">
        <v>95</v>
      </c>
      <c r="B37" s="27">
        <v>131.94</v>
      </c>
      <c r="C37" s="27">
        <v>84.05</v>
      </c>
      <c r="D37" s="27">
        <v>70.85</v>
      </c>
      <c r="E37" s="27">
        <v>47.81</v>
      </c>
      <c r="F37" s="27">
        <v>26.87</v>
      </c>
      <c r="G37" s="4"/>
      <c r="H37" s="4"/>
      <c r="I37" s="4"/>
      <c r="J37" s="4"/>
      <c r="K37" s="4"/>
      <c r="L37" s="4"/>
      <c r="M37" s="4"/>
      <c r="N37" s="4"/>
      <c r="O37" s="4"/>
      <c r="P37" s="4"/>
      <c r="Q37" s="4"/>
      <c r="R37" s="4"/>
      <c r="S37" s="4"/>
      <c r="T37" s="4"/>
      <c r="U37" s="4"/>
      <c r="V37" s="4"/>
      <c r="W37" s="4"/>
      <c r="X37" s="4"/>
      <c r="Y37" s="4"/>
      <c r="Z37" s="4"/>
    </row>
    <row r="38">
      <c r="A38" s="18"/>
      <c r="B38" s="19">
        <v>45008.0</v>
      </c>
      <c r="C38" s="19">
        <v>45007.0</v>
      </c>
      <c r="D38" s="19">
        <v>45006.0</v>
      </c>
      <c r="E38" s="19">
        <v>45005.0</v>
      </c>
      <c r="F38" s="19">
        <v>45004.0</v>
      </c>
      <c r="G38" s="4"/>
      <c r="H38" s="4"/>
      <c r="I38" s="4"/>
      <c r="J38" s="4"/>
      <c r="K38" s="4"/>
      <c r="L38" s="4"/>
      <c r="M38" s="4"/>
      <c r="N38" s="4"/>
      <c r="O38" s="4"/>
      <c r="P38" s="4"/>
      <c r="Q38" s="4"/>
      <c r="R38" s="4"/>
      <c r="S38" s="4"/>
      <c r="T38" s="4"/>
      <c r="U38" s="4"/>
      <c r="V38" s="4"/>
      <c r="W38" s="4"/>
      <c r="X38" s="4"/>
      <c r="Y38" s="4"/>
      <c r="Z38" s="4"/>
    </row>
    <row r="39">
      <c r="A39" s="20"/>
      <c r="B39" s="21"/>
      <c r="C39" s="21"/>
      <c r="D39" s="21"/>
      <c r="E39" s="21"/>
      <c r="F39" s="21"/>
      <c r="G39" s="21"/>
      <c r="H39" s="21"/>
      <c r="I39" s="21"/>
      <c r="J39" s="21"/>
      <c r="K39" s="22"/>
      <c r="L39" s="4"/>
      <c r="M39" s="4"/>
      <c r="N39" s="4"/>
      <c r="O39" s="4"/>
      <c r="P39" s="4"/>
      <c r="Q39" s="4"/>
      <c r="R39" s="4"/>
      <c r="S39" s="4"/>
      <c r="T39" s="4"/>
      <c r="U39" s="4"/>
      <c r="V39" s="4"/>
      <c r="W39" s="4"/>
      <c r="X39" s="4"/>
      <c r="Y39" s="4"/>
      <c r="Z39" s="4"/>
    </row>
    <row r="40">
      <c r="A40" s="18"/>
      <c r="B40" s="23" t="s">
        <v>1</v>
      </c>
      <c r="C40" s="23" t="s">
        <v>1</v>
      </c>
      <c r="D40" s="23" t="s">
        <v>1</v>
      </c>
      <c r="E40" s="23" t="s">
        <v>1</v>
      </c>
      <c r="F40" s="23" t="s">
        <v>1</v>
      </c>
      <c r="G40" s="4"/>
      <c r="H40" s="4"/>
      <c r="I40" s="4"/>
      <c r="J40" s="4"/>
      <c r="K40" s="4"/>
      <c r="L40" s="4"/>
      <c r="M40" s="4"/>
      <c r="N40" s="4"/>
      <c r="O40" s="4"/>
      <c r="P40" s="4"/>
      <c r="Q40" s="4"/>
      <c r="R40" s="4"/>
      <c r="S40" s="4"/>
      <c r="T40" s="4"/>
      <c r="U40" s="4"/>
      <c r="V40" s="4"/>
      <c r="W40" s="4"/>
      <c r="X40" s="4"/>
      <c r="Y40" s="4"/>
      <c r="Z40" s="4"/>
    </row>
    <row r="41">
      <c r="A41" s="20"/>
      <c r="B41" s="21"/>
      <c r="C41" s="21"/>
      <c r="D41" s="21"/>
      <c r="E41" s="21"/>
      <c r="F41" s="21"/>
      <c r="G41" s="21"/>
      <c r="H41" s="21"/>
      <c r="I41" s="21"/>
      <c r="J41" s="21"/>
      <c r="K41" s="22"/>
      <c r="L41" s="4"/>
      <c r="M41" s="4"/>
      <c r="N41" s="4"/>
      <c r="O41" s="4"/>
      <c r="P41" s="4"/>
      <c r="Q41" s="4"/>
      <c r="R41" s="4"/>
      <c r="S41" s="4"/>
      <c r="T41" s="4"/>
      <c r="U41" s="4"/>
      <c r="V41" s="4"/>
      <c r="W41" s="4"/>
      <c r="X41" s="4"/>
      <c r="Y41" s="4"/>
      <c r="Z41" s="4"/>
    </row>
    <row r="42">
      <c r="A42" s="24" t="s">
        <v>43</v>
      </c>
      <c r="B42" s="22"/>
      <c r="C42" s="18"/>
      <c r="D42" s="18"/>
      <c r="E42" s="18"/>
      <c r="F42" s="18"/>
      <c r="G42" s="4"/>
      <c r="H42" s="4"/>
      <c r="I42" s="4"/>
      <c r="J42" s="4"/>
      <c r="K42" s="4"/>
      <c r="L42" s="4"/>
      <c r="M42" s="4"/>
      <c r="N42" s="4"/>
      <c r="O42" s="4"/>
      <c r="P42" s="4"/>
      <c r="Q42" s="4"/>
      <c r="R42" s="4"/>
      <c r="S42" s="4"/>
      <c r="T42" s="4"/>
      <c r="U42" s="4"/>
      <c r="V42" s="4"/>
      <c r="W42" s="4"/>
      <c r="X42" s="4"/>
      <c r="Y42" s="4"/>
      <c r="Z42" s="4"/>
    </row>
    <row r="43">
      <c r="A43" s="24" t="s">
        <v>96</v>
      </c>
      <c r="B43" s="22"/>
      <c r="C43" s="18"/>
      <c r="D43" s="18"/>
      <c r="E43" s="18"/>
      <c r="F43" s="18"/>
      <c r="G43" s="4"/>
      <c r="H43" s="4"/>
      <c r="I43" s="4"/>
      <c r="J43" s="4"/>
      <c r="K43" s="4"/>
      <c r="L43" s="4"/>
      <c r="M43" s="4"/>
      <c r="N43" s="4"/>
      <c r="O43" s="4"/>
      <c r="P43" s="4"/>
      <c r="Q43" s="4"/>
      <c r="R43" s="4"/>
      <c r="S43" s="4"/>
      <c r="T43" s="4"/>
      <c r="U43" s="4"/>
      <c r="V43" s="4"/>
      <c r="W43" s="4"/>
      <c r="X43" s="4"/>
      <c r="Y43" s="4"/>
      <c r="Z43" s="4"/>
    </row>
    <row r="44">
      <c r="A44" s="23" t="s">
        <v>97</v>
      </c>
      <c r="B44" s="23">
        <v>27.73</v>
      </c>
      <c r="C44" s="23">
        <v>17.67</v>
      </c>
      <c r="D44" s="23">
        <v>15.55</v>
      </c>
      <c r="E44" s="23">
        <v>16.5</v>
      </c>
      <c r="F44" s="23">
        <v>9.32</v>
      </c>
      <c r="G44" s="4"/>
      <c r="H44" s="4"/>
      <c r="I44" s="4"/>
      <c r="J44" s="4"/>
      <c r="K44" s="4"/>
      <c r="L44" s="4"/>
      <c r="M44" s="4"/>
      <c r="N44" s="4"/>
      <c r="O44" s="4"/>
      <c r="P44" s="4"/>
      <c r="Q44" s="4"/>
      <c r="R44" s="4"/>
      <c r="S44" s="4"/>
      <c r="T44" s="4"/>
      <c r="U44" s="4"/>
      <c r="V44" s="4"/>
      <c r="W44" s="4"/>
      <c r="X44" s="4"/>
      <c r="Y44" s="4"/>
      <c r="Z44" s="4"/>
    </row>
    <row r="45">
      <c r="A45" s="23" t="s">
        <v>98</v>
      </c>
      <c r="B45" s="23">
        <v>27.67</v>
      </c>
      <c r="C45" s="23">
        <v>17.67</v>
      </c>
      <c r="D45" s="23">
        <v>15.55</v>
      </c>
      <c r="E45" s="23">
        <v>10.5</v>
      </c>
      <c r="F45" s="23">
        <v>5.9</v>
      </c>
      <c r="G45" s="4"/>
      <c r="H45" s="4"/>
      <c r="I45" s="4"/>
      <c r="J45" s="4"/>
      <c r="K45" s="4"/>
      <c r="L45" s="4"/>
      <c r="M45" s="4"/>
      <c r="N45" s="4"/>
      <c r="O45" s="4"/>
      <c r="P45" s="4"/>
      <c r="Q45" s="4"/>
      <c r="R45" s="4"/>
      <c r="S45" s="4"/>
      <c r="T45" s="4"/>
      <c r="U45" s="4"/>
      <c r="V45" s="4"/>
      <c r="W45" s="4"/>
      <c r="X45" s="4"/>
      <c r="Y45" s="4"/>
      <c r="Z45" s="4"/>
    </row>
    <row r="46">
      <c r="A46" s="24" t="s">
        <v>99</v>
      </c>
      <c r="B46" s="22"/>
      <c r="C46" s="18"/>
      <c r="D46" s="18"/>
      <c r="E46" s="18"/>
      <c r="F46" s="18"/>
      <c r="G46" s="4"/>
      <c r="H46" s="4"/>
      <c r="I46" s="4"/>
      <c r="J46" s="4"/>
      <c r="K46" s="4"/>
      <c r="L46" s="4"/>
      <c r="M46" s="4"/>
      <c r="N46" s="4"/>
      <c r="O46" s="4"/>
      <c r="P46" s="4"/>
      <c r="Q46" s="4"/>
      <c r="R46" s="4"/>
      <c r="S46" s="4"/>
      <c r="T46" s="4"/>
      <c r="U46" s="4"/>
      <c r="V46" s="4"/>
      <c r="W46" s="4"/>
      <c r="X46" s="4"/>
      <c r="Y46" s="4"/>
      <c r="Z46" s="4"/>
    </row>
    <row r="47">
      <c r="A47" s="24" t="s">
        <v>100</v>
      </c>
      <c r="B47" s="22"/>
      <c r="C47" s="18"/>
      <c r="D47" s="18"/>
      <c r="E47" s="18"/>
      <c r="F47" s="18"/>
      <c r="G47" s="4"/>
      <c r="H47" s="4"/>
      <c r="I47" s="4"/>
      <c r="J47" s="4"/>
      <c r="K47" s="4"/>
      <c r="L47" s="4"/>
      <c r="M47" s="4"/>
      <c r="N47" s="4"/>
      <c r="O47" s="4"/>
      <c r="P47" s="4"/>
      <c r="Q47" s="4"/>
      <c r="R47" s="4"/>
      <c r="S47" s="4"/>
      <c r="T47" s="4"/>
      <c r="U47" s="4"/>
      <c r="V47" s="4"/>
      <c r="W47" s="4"/>
      <c r="X47" s="4"/>
      <c r="Y47" s="4"/>
      <c r="Z47" s="4"/>
    </row>
    <row r="48">
      <c r="A48" s="24" t="s">
        <v>101</v>
      </c>
      <c r="B48" s="22"/>
      <c r="C48" s="18"/>
      <c r="D48" s="18"/>
      <c r="E48" s="18"/>
      <c r="F48" s="18"/>
      <c r="G48" s="4"/>
      <c r="H48" s="4"/>
      <c r="I48" s="4"/>
      <c r="J48" s="4"/>
      <c r="K48" s="4"/>
      <c r="L48" s="4"/>
      <c r="M48" s="4"/>
      <c r="N48" s="4"/>
      <c r="O48" s="4"/>
      <c r="P48" s="4"/>
      <c r="Q48" s="4"/>
      <c r="R48" s="4"/>
      <c r="S48" s="4"/>
      <c r="T48" s="4"/>
      <c r="U48" s="4"/>
      <c r="V48" s="4"/>
      <c r="W48" s="4"/>
      <c r="X48" s="4"/>
      <c r="Y48" s="4"/>
      <c r="Z48" s="4"/>
    </row>
    <row r="49">
      <c r="A49" s="23" t="s">
        <v>102</v>
      </c>
      <c r="B49" s="23">
        <v>14.27</v>
      </c>
      <c r="C49" s="23">
        <v>0.0</v>
      </c>
      <c r="D49" s="23">
        <v>0.0</v>
      </c>
      <c r="E49" s="23">
        <v>0.0</v>
      </c>
      <c r="F49" s="23">
        <v>0.0</v>
      </c>
      <c r="G49" s="4"/>
      <c r="H49" s="4"/>
      <c r="I49" s="4"/>
      <c r="J49" s="4"/>
      <c r="K49" s="4"/>
      <c r="L49" s="4"/>
      <c r="M49" s="4"/>
      <c r="N49" s="4"/>
      <c r="O49" s="4"/>
      <c r="P49" s="4"/>
      <c r="Q49" s="4"/>
      <c r="R49" s="4"/>
      <c r="S49" s="4"/>
      <c r="T49" s="4"/>
      <c r="U49" s="4"/>
      <c r="V49" s="4"/>
      <c r="W49" s="4"/>
      <c r="X49" s="4"/>
      <c r="Y49" s="4"/>
      <c r="Z49" s="4"/>
    </row>
    <row r="50">
      <c r="A50" s="23" t="s">
        <v>103</v>
      </c>
      <c r="B50" s="23">
        <v>35.0</v>
      </c>
      <c r="C50" s="23">
        <v>30.0</v>
      </c>
      <c r="D50" s="23">
        <v>0.0</v>
      </c>
      <c r="E50" s="23">
        <v>0.0</v>
      </c>
      <c r="F50" s="23">
        <v>0.0</v>
      </c>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4">
    <mergeCell ref="A39:K39"/>
    <mergeCell ref="A41:K41"/>
    <mergeCell ref="A42:B42"/>
    <mergeCell ref="A43:B43"/>
    <mergeCell ref="A46:B46"/>
    <mergeCell ref="A47:B47"/>
    <mergeCell ref="A48:B48"/>
    <mergeCell ref="A4:K4"/>
    <mergeCell ref="A6:K6"/>
    <mergeCell ref="A7:B7"/>
    <mergeCell ref="A14:B14"/>
    <mergeCell ref="A24:K24"/>
    <mergeCell ref="A26:K26"/>
    <mergeCell ref="A30:B3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s>
  <sheetData>
    <row r="1">
      <c r="A1" s="15" t="s">
        <v>104</v>
      </c>
      <c r="B1" s="16" t="s">
        <v>105</v>
      </c>
      <c r="C1" s="4"/>
      <c r="D1" s="4"/>
      <c r="E1" s="4"/>
      <c r="F1" s="4"/>
      <c r="G1" s="4"/>
      <c r="H1" s="4"/>
      <c r="I1" s="4"/>
      <c r="J1" s="4"/>
      <c r="K1" s="4"/>
      <c r="L1" s="4"/>
      <c r="M1" s="4"/>
      <c r="N1" s="4"/>
      <c r="O1" s="4"/>
      <c r="P1" s="4"/>
      <c r="Q1" s="4"/>
      <c r="R1" s="4"/>
      <c r="S1" s="4"/>
      <c r="T1" s="4"/>
      <c r="U1" s="4"/>
      <c r="V1" s="4"/>
      <c r="W1" s="4"/>
      <c r="X1" s="4"/>
      <c r="Y1" s="4"/>
      <c r="Z1" s="4"/>
    </row>
    <row r="2">
      <c r="A2" s="17" t="s">
        <v>106</v>
      </c>
      <c r="B2" s="17" t="s">
        <v>68</v>
      </c>
      <c r="C2" s="4"/>
      <c r="D2" s="4"/>
      <c r="E2" s="4"/>
      <c r="F2" s="4"/>
      <c r="G2" s="4"/>
      <c r="H2" s="4"/>
      <c r="I2" s="4"/>
      <c r="J2" s="4"/>
      <c r="K2" s="4"/>
      <c r="L2" s="4"/>
      <c r="M2" s="4"/>
      <c r="N2" s="4"/>
      <c r="O2" s="4"/>
      <c r="P2" s="4"/>
      <c r="Q2" s="4"/>
      <c r="R2" s="4"/>
      <c r="S2" s="4"/>
      <c r="T2" s="4"/>
      <c r="U2" s="4"/>
      <c r="V2" s="4"/>
      <c r="W2" s="4"/>
      <c r="X2" s="4"/>
      <c r="Y2" s="4"/>
      <c r="Z2" s="4"/>
    </row>
    <row r="3">
      <c r="A3" s="18"/>
      <c r="B3" s="4"/>
      <c r="C3" s="4"/>
      <c r="D3" s="4"/>
      <c r="E3" s="4"/>
      <c r="F3" s="4"/>
      <c r="G3" s="4"/>
      <c r="H3" s="4"/>
      <c r="I3" s="4"/>
      <c r="J3" s="4"/>
      <c r="K3" s="4"/>
      <c r="L3" s="4"/>
      <c r="M3" s="4"/>
      <c r="N3" s="4"/>
      <c r="O3" s="4"/>
      <c r="P3" s="4"/>
      <c r="Q3" s="4"/>
      <c r="R3" s="4"/>
      <c r="S3" s="4"/>
      <c r="T3" s="4"/>
      <c r="U3" s="4"/>
      <c r="V3" s="4"/>
      <c r="W3" s="4"/>
      <c r="X3" s="4"/>
      <c r="Y3" s="4"/>
      <c r="Z3" s="4"/>
    </row>
    <row r="4">
      <c r="A4" s="18"/>
      <c r="B4" s="19">
        <v>45008.0</v>
      </c>
      <c r="C4" s="19">
        <v>45008.0</v>
      </c>
      <c r="D4" s="19">
        <v>45007.0</v>
      </c>
      <c r="E4" s="19">
        <v>45007.0</v>
      </c>
      <c r="F4" s="19">
        <v>45006.0</v>
      </c>
      <c r="G4" s="4"/>
      <c r="H4" s="4"/>
      <c r="I4" s="4"/>
      <c r="J4" s="4"/>
      <c r="K4" s="4"/>
      <c r="L4" s="4"/>
      <c r="M4" s="4"/>
      <c r="N4" s="4"/>
      <c r="O4" s="4"/>
      <c r="P4" s="4"/>
      <c r="Q4" s="4"/>
      <c r="R4" s="4"/>
      <c r="S4" s="4"/>
      <c r="T4" s="4"/>
      <c r="U4" s="4"/>
      <c r="V4" s="4"/>
      <c r="W4" s="4"/>
      <c r="X4" s="4"/>
      <c r="Y4" s="4"/>
      <c r="Z4" s="4"/>
    </row>
    <row r="5">
      <c r="A5" s="20"/>
      <c r="B5" s="21"/>
      <c r="C5" s="21"/>
      <c r="D5" s="21"/>
      <c r="E5" s="21"/>
      <c r="F5" s="21"/>
      <c r="G5" s="21"/>
      <c r="H5" s="21"/>
      <c r="I5" s="21"/>
      <c r="J5" s="21"/>
      <c r="K5" s="22"/>
      <c r="L5" s="4"/>
      <c r="M5" s="4"/>
      <c r="N5" s="4"/>
      <c r="O5" s="4"/>
      <c r="P5" s="4"/>
      <c r="Q5" s="4"/>
      <c r="R5" s="4"/>
      <c r="S5" s="4"/>
      <c r="T5" s="4"/>
      <c r="U5" s="4"/>
      <c r="V5" s="4"/>
      <c r="W5" s="4"/>
      <c r="X5" s="4"/>
      <c r="Y5" s="4"/>
      <c r="Z5" s="4"/>
    </row>
    <row r="6">
      <c r="A6" s="18"/>
      <c r="B6" s="23" t="s">
        <v>1</v>
      </c>
      <c r="C6" s="23" t="s">
        <v>1</v>
      </c>
      <c r="D6" s="23" t="s">
        <v>1</v>
      </c>
      <c r="E6" s="23" t="s">
        <v>1</v>
      </c>
      <c r="F6" s="23" t="s">
        <v>1</v>
      </c>
      <c r="G6" s="4"/>
      <c r="H6" s="4"/>
      <c r="I6" s="4"/>
      <c r="J6" s="4"/>
      <c r="K6" s="4"/>
      <c r="L6" s="4"/>
      <c r="M6" s="4"/>
      <c r="N6" s="4"/>
      <c r="O6" s="4"/>
      <c r="P6" s="4"/>
      <c r="Q6" s="4"/>
      <c r="R6" s="4"/>
      <c r="S6" s="4"/>
      <c r="T6" s="4"/>
      <c r="U6" s="4"/>
      <c r="V6" s="4"/>
      <c r="W6" s="4"/>
      <c r="X6" s="4"/>
      <c r="Y6" s="4"/>
      <c r="Z6" s="4"/>
    </row>
    <row r="7">
      <c r="A7" s="20"/>
      <c r="B7" s="21"/>
      <c r="C7" s="21"/>
      <c r="D7" s="21"/>
      <c r="E7" s="21"/>
      <c r="F7" s="21"/>
      <c r="G7" s="21"/>
      <c r="H7" s="21"/>
      <c r="I7" s="21"/>
      <c r="J7" s="21"/>
      <c r="K7" s="22"/>
      <c r="L7" s="4"/>
      <c r="M7" s="4"/>
      <c r="N7" s="4"/>
      <c r="O7" s="4"/>
      <c r="P7" s="4"/>
      <c r="Q7" s="4"/>
      <c r="R7" s="4"/>
      <c r="S7" s="4"/>
      <c r="T7" s="4"/>
      <c r="U7" s="4"/>
      <c r="V7" s="4"/>
      <c r="W7" s="4"/>
      <c r="X7" s="4"/>
      <c r="Y7" s="4"/>
      <c r="Z7" s="4"/>
    </row>
    <row r="8">
      <c r="A8" s="27" t="s">
        <v>107</v>
      </c>
      <c r="B8" s="27">
        <v>155.88</v>
      </c>
      <c r="C8" s="27">
        <v>0.0</v>
      </c>
      <c r="D8" s="27">
        <v>114.3</v>
      </c>
      <c r="E8" s="27">
        <v>0.0</v>
      </c>
      <c r="F8" s="27">
        <v>0.0</v>
      </c>
      <c r="G8" s="4"/>
      <c r="H8" s="4"/>
      <c r="I8" s="4"/>
      <c r="J8" s="4"/>
      <c r="K8" s="4"/>
      <c r="L8" s="4"/>
      <c r="M8" s="4"/>
      <c r="N8" s="4"/>
      <c r="O8" s="4"/>
      <c r="P8" s="4"/>
      <c r="Q8" s="4"/>
      <c r="R8" s="4"/>
      <c r="S8" s="4"/>
      <c r="T8" s="4"/>
      <c r="U8" s="4"/>
      <c r="V8" s="4"/>
      <c r="W8" s="4"/>
      <c r="X8" s="4"/>
      <c r="Y8" s="4"/>
      <c r="Z8" s="4"/>
    </row>
    <row r="9">
      <c r="A9" s="23" t="s">
        <v>108</v>
      </c>
      <c r="B9" s="23">
        <v>116.11</v>
      </c>
      <c r="C9" s="23">
        <v>0.0</v>
      </c>
      <c r="D9" s="23">
        <v>65.19</v>
      </c>
      <c r="E9" s="23">
        <v>0.0</v>
      </c>
      <c r="F9" s="23">
        <v>0.0</v>
      </c>
      <c r="G9" s="4"/>
      <c r="H9" s="4"/>
      <c r="I9" s="4"/>
      <c r="J9" s="4"/>
      <c r="K9" s="4"/>
      <c r="L9" s="4"/>
      <c r="M9" s="4"/>
      <c r="N9" s="4"/>
      <c r="O9" s="4"/>
      <c r="P9" s="4"/>
      <c r="Q9" s="4"/>
      <c r="R9" s="4"/>
      <c r="S9" s="4"/>
      <c r="T9" s="4"/>
      <c r="U9" s="4"/>
      <c r="V9" s="4"/>
      <c r="W9" s="4"/>
      <c r="X9" s="4"/>
      <c r="Y9" s="4"/>
      <c r="Z9" s="4"/>
    </row>
    <row r="10">
      <c r="A10" s="23" t="s">
        <v>109</v>
      </c>
      <c r="B10" s="23">
        <v>-84.4</v>
      </c>
      <c r="C10" s="23">
        <v>0.0</v>
      </c>
      <c r="D10" s="23">
        <v>-69.16</v>
      </c>
      <c r="E10" s="23">
        <v>0.0</v>
      </c>
      <c r="F10" s="23">
        <v>0.0</v>
      </c>
      <c r="G10" s="4"/>
      <c r="H10" s="4"/>
      <c r="I10" s="4"/>
      <c r="J10" s="4"/>
      <c r="K10" s="4"/>
      <c r="L10" s="4"/>
      <c r="M10" s="4"/>
      <c r="N10" s="4"/>
      <c r="O10" s="4"/>
      <c r="P10" s="4"/>
      <c r="Q10" s="4"/>
      <c r="R10" s="4"/>
      <c r="S10" s="4"/>
      <c r="T10" s="4"/>
      <c r="U10" s="4"/>
      <c r="V10" s="4"/>
      <c r="W10" s="4"/>
      <c r="X10" s="4"/>
      <c r="Y10" s="4"/>
      <c r="Z10" s="4"/>
    </row>
    <row r="11">
      <c r="A11" s="23" t="s">
        <v>110</v>
      </c>
      <c r="B11" s="23">
        <v>-20.06</v>
      </c>
      <c r="C11" s="23">
        <v>0.0</v>
      </c>
      <c r="D11" s="23">
        <v>-5.29</v>
      </c>
      <c r="E11" s="23">
        <v>0.0</v>
      </c>
      <c r="F11" s="23">
        <v>0.0</v>
      </c>
      <c r="G11" s="4"/>
      <c r="H11" s="4"/>
      <c r="I11" s="4"/>
      <c r="J11" s="4"/>
      <c r="K11" s="4"/>
      <c r="L11" s="4"/>
      <c r="M11" s="4"/>
      <c r="N11" s="4"/>
      <c r="O11" s="4"/>
      <c r="P11" s="4"/>
      <c r="Q11" s="4"/>
      <c r="R11" s="4"/>
      <c r="S11" s="4"/>
      <c r="T11" s="4"/>
      <c r="U11" s="4"/>
      <c r="V11" s="4"/>
      <c r="W11" s="4"/>
      <c r="X11" s="4"/>
      <c r="Y11" s="4"/>
      <c r="Z11" s="4"/>
    </row>
    <row r="12">
      <c r="A12" s="27" t="s">
        <v>111</v>
      </c>
      <c r="B12" s="27">
        <v>11.65</v>
      </c>
      <c r="C12" s="27">
        <v>0.0</v>
      </c>
      <c r="D12" s="27">
        <v>-9.27</v>
      </c>
      <c r="E12" s="27">
        <v>0.0</v>
      </c>
      <c r="F12" s="27">
        <v>0.0</v>
      </c>
      <c r="G12" s="4"/>
      <c r="H12" s="4"/>
      <c r="I12" s="4"/>
      <c r="J12" s="4"/>
      <c r="K12" s="4"/>
      <c r="L12" s="4"/>
      <c r="M12" s="4"/>
      <c r="N12" s="4"/>
      <c r="O12" s="4"/>
      <c r="P12" s="4"/>
      <c r="Q12" s="4"/>
      <c r="R12" s="4"/>
      <c r="S12" s="4"/>
      <c r="T12" s="4"/>
      <c r="U12" s="4"/>
      <c r="V12" s="4"/>
      <c r="W12" s="4"/>
      <c r="X12" s="4"/>
      <c r="Y12" s="4"/>
      <c r="Z12" s="4"/>
    </row>
    <row r="13">
      <c r="A13" s="23" t="s">
        <v>112</v>
      </c>
      <c r="B13" s="23">
        <v>35.53</v>
      </c>
      <c r="C13" s="23">
        <v>0.0</v>
      </c>
      <c r="D13" s="23">
        <v>44.8</v>
      </c>
      <c r="E13" s="23">
        <v>0.0</v>
      </c>
      <c r="F13" s="23">
        <v>0.0</v>
      </c>
      <c r="G13" s="4"/>
      <c r="H13" s="4"/>
      <c r="I13" s="4"/>
      <c r="J13" s="4"/>
      <c r="K13" s="4"/>
      <c r="L13" s="4"/>
      <c r="M13" s="4"/>
      <c r="N13" s="4"/>
      <c r="O13" s="4"/>
      <c r="P13" s="4"/>
      <c r="Q13" s="4"/>
      <c r="R13" s="4"/>
      <c r="S13" s="4"/>
      <c r="T13" s="4"/>
      <c r="U13" s="4"/>
      <c r="V13" s="4"/>
      <c r="W13" s="4"/>
      <c r="X13" s="4"/>
      <c r="Y13" s="4"/>
      <c r="Z13" s="4"/>
    </row>
    <row r="14">
      <c r="A14" s="23" t="s">
        <v>113</v>
      </c>
      <c r="B14" s="23">
        <v>47.18</v>
      </c>
      <c r="C14" s="23">
        <v>0.0</v>
      </c>
      <c r="D14" s="23">
        <v>35.53</v>
      </c>
      <c r="E14" s="23">
        <v>0.0</v>
      </c>
      <c r="F14" s="23">
        <v>0.0</v>
      </c>
      <c r="G14" s="4"/>
      <c r="H14" s="4"/>
      <c r="I14" s="4"/>
      <c r="J14" s="4"/>
      <c r="K14" s="4"/>
      <c r="L14" s="4"/>
      <c r="M14" s="4"/>
      <c r="N14" s="4"/>
      <c r="O14" s="4"/>
      <c r="P14" s="4"/>
      <c r="Q14" s="4"/>
      <c r="R14" s="4"/>
      <c r="S14" s="4"/>
      <c r="T14" s="4"/>
      <c r="U14" s="4"/>
      <c r="V14" s="4"/>
      <c r="W14" s="4"/>
      <c r="X14" s="4"/>
      <c r="Y14" s="4"/>
      <c r="Z14" s="4"/>
    </row>
    <row r="15">
      <c r="A15" s="29"/>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A5:K5"/>
    <mergeCell ref="A7:K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0" width="18.0"/>
    <col customWidth="1" min="11" max="11" width="66.0"/>
    <col customWidth="1" min="12" max="27" width="18.0"/>
  </cols>
  <sheetData>
    <row r="1" ht="30.75" customHeight="1">
      <c r="A1" s="29"/>
      <c r="B1" s="29"/>
      <c r="C1" s="29"/>
      <c r="D1" s="30" t="s">
        <v>114</v>
      </c>
      <c r="E1" s="29"/>
      <c r="F1" s="30">
        <v>2023.0</v>
      </c>
      <c r="G1" s="30">
        <v>2022.0</v>
      </c>
      <c r="H1" s="30">
        <v>2021.0</v>
      </c>
      <c r="I1" s="30">
        <v>2020.0</v>
      </c>
      <c r="J1" s="30">
        <v>2019.0</v>
      </c>
      <c r="K1" s="29"/>
      <c r="L1" s="29"/>
      <c r="M1" s="29"/>
      <c r="N1" s="29"/>
      <c r="O1" s="29"/>
      <c r="P1" s="29"/>
      <c r="Q1" s="29"/>
      <c r="R1" s="29"/>
      <c r="S1" s="29"/>
      <c r="T1" s="29"/>
      <c r="U1" s="29"/>
      <c r="V1" s="29"/>
      <c r="W1" s="29"/>
      <c r="X1" s="29"/>
      <c r="Y1" s="29"/>
      <c r="Z1" s="29"/>
      <c r="AA1" s="29"/>
    </row>
    <row r="2" ht="78.75" customHeight="1">
      <c r="A2" s="30"/>
      <c r="B2" s="31"/>
      <c r="C2" s="21"/>
      <c r="D2" s="22"/>
      <c r="E2" s="29"/>
      <c r="F2" s="31" t="s">
        <v>115</v>
      </c>
      <c r="G2" s="21"/>
      <c r="H2" s="21"/>
      <c r="I2" s="21"/>
      <c r="J2" s="22"/>
      <c r="K2" s="30" t="s">
        <v>116</v>
      </c>
      <c r="L2" s="30" t="s">
        <v>117</v>
      </c>
      <c r="M2" s="29"/>
      <c r="N2" s="29"/>
      <c r="O2" s="29"/>
      <c r="P2" s="29"/>
      <c r="Q2" s="29"/>
      <c r="R2" s="29"/>
      <c r="S2" s="29"/>
      <c r="T2" s="29"/>
      <c r="U2" s="29"/>
      <c r="V2" s="29"/>
      <c r="W2" s="29"/>
      <c r="X2" s="29"/>
      <c r="Y2" s="29"/>
      <c r="Z2" s="29"/>
      <c r="AA2" s="29"/>
    </row>
    <row r="3" ht="27.75" customHeight="1">
      <c r="A3" s="30"/>
      <c r="B3" s="31" t="s">
        <v>118</v>
      </c>
      <c r="C3" s="21"/>
      <c r="D3" s="21"/>
      <c r="E3" s="22"/>
      <c r="F3" s="29"/>
      <c r="G3" s="29"/>
      <c r="H3" s="29"/>
      <c r="I3" s="29"/>
      <c r="J3" s="29"/>
      <c r="K3" s="29"/>
      <c r="L3" s="29"/>
      <c r="M3" s="29"/>
      <c r="N3" s="29"/>
      <c r="O3" s="29"/>
      <c r="P3" s="29"/>
      <c r="Q3" s="29"/>
      <c r="R3" s="29"/>
      <c r="S3" s="29"/>
      <c r="T3" s="29"/>
      <c r="U3" s="29"/>
      <c r="V3" s="29"/>
      <c r="W3" s="29"/>
      <c r="X3" s="29"/>
      <c r="Y3" s="29"/>
      <c r="Z3" s="29"/>
      <c r="AA3" s="29"/>
    </row>
    <row r="4" ht="129.75" customHeight="1">
      <c r="A4" s="30"/>
      <c r="B4" s="30" t="s">
        <v>119</v>
      </c>
      <c r="C4" s="32" t="s">
        <v>120</v>
      </c>
      <c r="D4" s="29"/>
      <c r="E4" s="32" t="s">
        <v>121</v>
      </c>
      <c r="F4" s="33">
        <f>'standalone- balance sheet'!B43/'standalone- balance sheet'!B21</f>
        <v>1.964328991</v>
      </c>
      <c r="G4" s="33">
        <f>'standalone- balance sheet'!C43/'standalone- balance sheet'!C21</f>
        <v>2.343747441</v>
      </c>
      <c r="H4" s="33">
        <f>'standalone- balance sheet'!D43/'standalone- balance sheet'!D21</f>
        <v>2.374781086</v>
      </c>
      <c r="I4" s="33">
        <f>'standalone- balance sheet'!E43/'standalone- balance sheet'!E21</f>
        <v>1.140242915</v>
      </c>
      <c r="J4" s="33">
        <f>'standalone- balance sheet'!F43/'standalone- balance sheet'!F21</f>
        <v>1.117525116</v>
      </c>
      <c r="K4" s="32" t="s">
        <v>122</v>
      </c>
      <c r="L4" s="34">
        <v>1.73</v>
      </c>
      <c r="M4" s="35"/>
      <c r="N4" s="29"/>
      <c r="O4" s="29"/>
      <c r="P4" s="29"/>
      <c r="Q4" s="29"/>
      <c r="R4" s="29"/>
      <c r="S4" s="29"/>
      <c r="T4" s="29"/>
      <c r="U4" s="29"/>
      <c r="V4" s="29"/>
      <c r="W4" s="29"/>
      <c r="X4" s="29"/>
      <c r="Y4" s="29"/>
      <c r="Z4" s="29"/>
      <c r="AA4" s="29"/>
    </row>
    <row r="5" ht="129.75" customHeight="1">
      <c r="A5" s="30"/>
      <c r="B5" s="30" t="s">
        <v>123</v>
      </c>
      <c r="C5" s="32" t="s">
        <v>124</v>
      </c>
      <c r="D5" s="29"/>
      <c r="E5" s="32" t="s">
        <v>125</v>
      </c>
      <c r="F5" s="33">
        <f>F6/'standalone- balance sheet'!B21</f>
        <v>1.518782187</v>
      </c>
      <c r="G5" s="33">
        <f>G6/'standalone- balance sheet'!C21</f>
        <v>1.861723037</v>
      </c>
      <c r="H5" s="33">
        <f>H6/'standalone- balance sheet'!D21</f>
        <v>1.960288967</v>
      </c>
      <c r="I5" s="33">
        <f>I6/'standalone- balance sheet'!E21</f>
        <v>0.7258839406</v>
      </c>
      <c r="J5" s="33">
        <f>J6/'standalone- balance sheet'!F21</f>
        <v>0.7490033487</v>
      </c>
      <c r="K5" s="32" t="s">
        <v>126</v>
      </c>
      <c r="L5" s="34">
        <v>1.17</v>
      </c>
      <c r="M5" s="29"/>
      <c r="N5" s="29"/>
      <c r="O5" s="29"/>
      <c r="P5" s="29"/>
      <c r="Q5" s="29"/>
      <c r="R5" s="29"/>
      <c r="S5" s="29"/>
      <c r="T5" s="29"/>
      <c r="U5" s="29"/>
      <c r="V5" s="29"/>
      <c r="W5" s="29"/>
      <c r="X5" s="29"/>
      <c r="Y5" s="29"/>
      <c r="Z5" s="29"/>
      <c r="AA5" s="29"/>
    </row>
    <row r="6" ht="129.75" customHeight="1">
      <c r="A6" s="36"/>
      <c r="B6" s="36"/>
      <c r="C6" s="37"/>
      <c r="D6" s="38" t="s">
        <v>127</v>
      </c>
      <c r="E6" s="36"/>
      <c r="F6" s="36">
        <f>'standalone- balance sheet'!B43-'standalone- balance sheet'!B38</f>
        <v>401.08</v>
      </c>
      <c r="G6" s="36">
        <f>'standalone- balance sheet'!C43-'standalone- balance sheet'!C38</f>
        <v>454.67</v>
      </c>
      <c r="H6" s="36">
        <f>'standalone- balance sheet'!D43-'standalone- balance sheet'!D38</f>
        <v>447.73</v>
      </c>
      <c r="I6" s="36">
        <f>'standalone- balance sheet'!E43-'standalone- balance sheet'!E38</f>
        <v>134.47</v>
      </c>
      <c r="J6" s="36">
        <f>'standalone- balance sheet'!F43-'standalone- balance sheet'!F38</f>
        <v>140.91</v>
      </c>
      <c r="K6" s="36"/>
      <c r="L6" s="36"/>
      <c r="M6" s="36"/>
      <c r="N6" s="36"/>
      <c r="O6" s="36"/>
      <c r="P6" s="36"/>
      <c r="Q6" s="36"/>
      <c r="R6" s="36"/>
      <c r="S6" s="36"/>
      <c r="T6" s="36"/>
      <c r="U6" s="36"/>
      <c r="V6" s="36"/>
      <c r="W6" s="36"/>
      <c r="X6" s="36"/>
      <c r="Y6" s="36"/>
      <c r="Z6" s="36"/>
      <c r="AA6" s="36"/>
    </row>
    <row r="7" ht="129.75" customHeight="1">
      <c r="A7" s="30"/>
      <c r="B7" s="30" t="s">
        <v>128</v>
      </c>
      <c r="C7" s="32" t="s">
        <v>129</v>
      </c>
      <c r="D7" s="29"/>
      <c r="E7" s="32" t="s">
        <v>130</v>
      </c>
      <c r="F7" s="33">
        <f>'standalone- balance sheet'!B40/'standalone- balance sheet'!B21</f>
        <v>0.1847546198</v>
      </c>
      <c r="G7" s="33">
        <f>'standalone- balance sheet'!C40/'standalone- balance sheet'!C21</f>
        <v>0.4079109</v>
      </c>
      <c r="H7" s="33">
        <f>'standalone- balance sheet'!D40/'standalone- balance sheet'!D21</f>
        <v>1.130954466</v>
      </c>
      <c r="I7" s="33">
        <f>'standalone- balance sheet'!E40/'standalone- balance sheet'!E21</f>
        <v>0.03066126856</v>
      </c>
      <c r="J7" s="33">
        <f>'standalone- balance sheet'!F40/'standalone- balance sheet'!F21</f>
        <v>0.0736193058</v>
      </c>
      <c r="K7" s="32"/>
      <c r="L7" s="29"/>
      <c r="M7" s="29"/>
      <c r="N7" s="29"/>
      <c r="O7" s="29"/>
      <c r="P7" s="29"/>
      <c r="Q7" s="29"/>
      <c r="R7" s="29"/>
      <c r="S7" s="29"/>
      <c r="T7" s="29"/>
      <c r="U7" s="29"/>
      <c r="V7" s="29"/>
      <c r="W7" s="29"/>
      <c r="X7" s="29"/>
      <c r="Y7" s="29"/>
      <c r="Z7" s="29"/>
      <c r="AA7" s="29"/>
    </row>
    <row r="8" ht="27.0" customHeight="1">
      <c r="A8" s="30"/>
      <c r="B8" s="31" t="s">
        <v>131</v>
      </c>
      <c r="C8" s="21"/>
      <c r="D8" s="21"/>
      <c r="E8" s="22"/>
      <c r="F8" s="29"/>
      <c r="G8" s="29"/>
      <c r="H8" s="29"/>
      <c r="I8" s="29"/>
      <c r="J8" s="29"/>
      <c r="K8" s="29"/>
      <c r="L8" s="29"/>
      <c r="M8" s="29"/>
      <c r="N8" s="29"/>
      <c r="O8" s="29"/>
      <c r="P8" s="29"/>
      <c r="Q8" s="29"/>
      <c r="R8" s="29"/>
      <c r="S8" s="29"/>
      <c r="T8" s="29"/>
      <c r="U8" s="29"/>
      <c r="V8" s="29"/>
      <c r="W8" s="29"/>
      <c r="X8" s="29"/>
      <c r="Y8" s="29"/>
      <c r="Z8" s="29"/>
      <c r="AA8" s="29"/>
    </row>
    <row r="9" ht="129.75" customHeight="1">
      <c r="A9" s="30"/>
      <c r="B9" s="30" t="s">
        <v>132</v>
      </c>
      <c r="C9" s="32" t="s">
        <v>133</v>
      </c>
      <c r="D9" s="32" t="s">
        <v>134</v>
      </c>
      <c r="E9" s="32" t="s">
        <v>135</v>
      </c>
      <c r="F9" s="33">
        <f>'standalone- balance sheet'!B5/F10</f>
        <v>0.0596724847</v>
      </c>
      <c r="G9" s="33">
        <f>'standalone- balance sheet'!C5/G10</f>
        <v>0.0704041914</v>
      </c>
      <c r="H9" s="33">
        <f>'standalone- balance sheet'!D5/H10</f>
        <v>0.08162880088</v>
      </c>
      <c r="I9" s="33">
        <f>'standalone- balance sheet'!E5/I10</f>
        <v>0.1225972709</v>
      </c>
      <c r="J9" s="33">
        <f>'standalone- balance sheet'!F5/J10</f>
        <v>0.1559038098</v>
      </c>
      <c r="K9" s="32"/>
      <c r="L9" s="29"/>
      <c r="M9" s="29"/>
      <c r="N9" s="29"/>
      <c r="O9" s="29"/>
      <c r="P9" s="29"/>
      <c r="Q9" s="29"/>
      <c r="R9" s="29"/>
      <c r="S9" s="29"/>
      <c r="T9" s="29"/>
      <c r="U9" s="29"/>
      <c r="V9" s="29"/>
      <c r="W9" s="29"/>
      <c r="X9" s="29"/>
      <c r="Y9" s="29"/>
      <c r="Z9" s="29"/>
      <c r="AA9" s="29"/>
    </row>
    <row r="10" ht="129.75" customHeight="1">
      <c r="A10" s="36"/>
      <c r="B10" s="36"/>
      <c r="C10" s="37"/>
      <c r="D10" s="38" t="s">
        <v>136</v>
      </c>
      <c r="E10" s="36"/>
      <c r="F10" s="39">
        <f>'standalone- balance sheet'!B44-'standalone- balance sheet'!B21</f>
        <v>797.52</v>
      </c>
      <c r="G10" s="36">
        <f>'standalone- balance sheet'!C44-'standalone- balance sheet'!C21</f>
        <v>675.67</v>
      </c>
      <c r="H10" s="36">
        <f>'standalone- balance sheet'!D44-'standalone- balance sheet'!D21</f>
        <v>582.76</v>
      </c>
      <c r="I10" s="36">
        <f>'standalone- balance sheet'!E44-'standalone- balance sheet'!E21</f>
        <v>236.71</v>
      </c>
      <c r="J10" s="36">
        <f>'standalone- balance sheet'!F44-'standalone- balance sheet'!F21</f>
        <v>185.05</v>
      </c>
      <c r="K10" s="36"/>
      <c r="L10" s="36"/>
      <c r="M10" s="36"/>
      <c r="N10" s="36"/>
      <c r="O10" s="36"/>
      <c r="P10" s="36"/>
      <c r="Q10" s="36"/>
      <c r="R10" s="36"/>
      <c r="S10" s="36"/>
      <c r="T10" s="36"/>
      <c r="U10" s="36"/>
      <c r="V10" s="36"/>
      <c r="W10" s="36"/>
      <c r="X10" s="36"/>
      <c r="Y10" s="36"/>
      <c r="Z10" s="36"/>
      <c r="AA10" s="36"/>
    </row>
    <row r="11" ht="129.75" customHeight="1">
      <c r="A11" s="30"/>
      <c r="B11" s="30" t="s">
        <v>137</v>
      </c>
      <c r="C11" s="32" t="s">
        <v>138</v>
      </c>
      <c r="D11" s="29"/>
      <c r="E11" s="32" t="s">
        <v>139</v>
      </c>
      <c r="F11" s="29">
        <f>'standalone- balance sheet'!B11/'standalone- balance sheet'!B9</f>
        <v>0</v>
      </c>
      <c r="G11" s="33">
        <f>'standalone- balance sheet'!C11/'standalone- balance sheet'!C9</f>
        <v>0.01191025759</v>
      </c>
      <c r="H11" s="29">
        <f>'standalone- balance sheet'!D11/'standalone- balance sheet'!D9</f>
        <v>0</v>
      </c>
      <c r="I11" s="33">
        <f>'standalone- balance sheet'!E11/'standalone- balance sheet'!E9</f>
        <v>0.1540699301</v>
      </c>
      <c r="J11" s="33">
        <f>'standalone- balance sheet'!F11/'standalone- balance sheet'!F9</f>
        <v>0.2502322701</v>
      </c>
      <c r="K11" s="32" t="s">
        <v>140</v>
      </c>
      <c r="L11" s="34">
        <v>0.23</v>
      </c>
      <c r="M11" s="29"/>
      <c r="N11" s="29"/>
      <c r="O11" s="29"/>
      <c r="P11" s="29"/>
      <c r="Q11" s="29"/>
      <c r="R11" s="29"/>
      <c r="S11" s="29"/>
      <c r="T11" s="29"/>
      <c r="U11" s="29"/>
      <c r="V11" s="29"/>
      <c r="W11" s="29"/>
      <c r="X11" s="29"/>
      <c r="Y11" s="29"/>
      <c r="Z11" s="29"/>
      <c r="AA11" s="29"/>
    </row>
    <row r="12" ht="129.75" customHeight="1">
      <c r="A12" s="30"/>
      <c r="B12" s="30" t="s">
        <v>141</v>
      </c>
      <c r="C12" s="32" t="s">
        <v>142</v>
      </c>
      <c r="D12" s="29"/>
      <c r="E12" s="32" t="s">
        <v>143</v>
      </c>
      <c r="F12" s="29">
        <f>'standalone- balance sheet'!B11/'standalone- balance sheet'!B44</f>
        <v>0</v>
      </c>
      <c r="G12" s="33">
        <f>'standalone- balance sheet'!C11/'standalone- balance sheet'!C44</f>
        <v>0.008414049506</v>
      </c>
      <c r="H12" s="29">
        <f>'standalone- balance sheet'!D11/'standalone- balance sheet'!D44</f>
        <v>0</v>
      </c>
      <c r="I12" s="33">
        <f>'standalone- balance sheet'!E11/'standalone- balance sheet'!E44</f>
        <v>0.06526684994</v>
      </c>
      <c r="J12" s="33">
        <f>'standalone- balance sheet'!F11/'standalone- balance sheet'!F44</f>
        <v>0.0866069993</v>
      </c>
      <c r="K12" s="29"/>
      <c r="L12" s="29"/>
      <c r="M12" s="29"/>
      <c r="N12" s="29"/>
      <c r="O12" s="29"/>
      <c r="P12" s="29"/>
      <c r="Q12" s="29"/>
      <c r="R12" s="29"/>
      <c r="S12" s="29"/>
      <c r="T12" s="29"/>
      <c r="U12" s="29"/>
      <c r="V12" s="29"/>
      <c r="W12" s="29"/>
      <c r="X12" s="29"/>
      <c r="Y12" s="29"/>
      <c r="Z12" s="29"/>
      <c r="AA12" s="29"/>
    </row>
    <row r="13" ht="129.75" customHeight="1">
      <c r="A13" s="30"/>
      <c r="B13" s="30" t="s">
        <v>144</v>
      </c>
      <c r="C13" s="32" t="s">
        <v>145</v>
      </c>
      <c r="D13" s="29"/>
      <c r="E13" s="32" t="s">
        <v>146</v>
      </c>
      <c r="F13" s="33">
        <f>F14/'standalone- balance sheet'!B44</f>
        <v>0.7218161266</v>
      </c>
      <c r="G13" s="33">
        <f>G14/'standalone- balance sheet'!C44</f>
        <v>0.7034971573</v>
      </c>
      <c r="H13" s="33">
        <f>H14/'standalone- balance sheet'!D44</f>
        <v>0.694671828</v>
      </c>
      <c r="I13" s="33">
        <f>I14/'standalone- balance sheet'!E44</f>
        <v>0.4236183525</v>
      </c>
      <c r="J13" s="33">
        <f>J14/'standalone- balance sheet'!F44</f>
        <v>0.3461064366</v>
      </c>
      <c r="K13" s="29"/>
      <c r="L13" s="29"/>
      <c r="M13" s="29"/>
      <c r="N13" s="29"/>
      <c r="O13" s="29"/>
      <c r="P13" s="29"/>
      <c r="Q13" s="29"/>
      <c r="R13" s="29"/>
      <c r="S13" s="29"/>
      <c r="T13" s="29"/>
      <c r="U13" s="29"/>
      <c r="V13" s="29"/>
      <c r="W13" s="29"/>
      <c r="X13" s="29"/>
      <c r="Y13" s="29"/>
      <c r="Z13" s="29"/>
      <c r="AA13" s="29"/>
    </row>
    <row r="14" ht="129.75" customHeight="1">
      <c r="A14" s="36"/>
      <c r="B14" s="36"/>
      <c r="C14" s="37"/>
      <c r="D14" s="38" t="s">
        <v>147</v>
      </c>
      <c r="E14" s="36"/>
      <c r="F14" s="38">
        <f>'standalone- balance sheet'!B5+'standalone- balance sheet'!B7</f>
        <v>766.28</v>
      </c>
      <c r="G14" s="38">
        <f>'standalone- balance sheet'!C5+'standalone- balance sheet'!C7</f>
        <v>647.14</v>
      </c>
      <c r="H14" s="38">
        <f>'standalone- balance sheet'!D5+'standalone- balance sheet'!D7</f>
        <v>563.49</v>
      </c>
      <c r="I14" s="38">
        <f>'standalone- balance sheet'!E5+'standalone- balance sheet'!E7</f>
        <v>178.75</v>
      </c>
      <c r="J14" s="38">
        <f>'standalone- balance sheet'!F5+'standalone- balance sheet'!F7</f>
        <v>129.16</v>
      </c>
      <c r="K14" s="36"/>
      <c r="L14" s="36"/>
      <c r="M14" s="36"/>
      <c r="N14" s="36"/>
      <c r="O14" s="36"/>
      <c r="P14" s="36"/>
      <c r="Q14" s="36"/>
      <c r="R14" s="36"/>
      <c r="S14" s="36"/>
      <c r="T14" s="36"/>
      <c r="U14" s="36"/>
      <c r="V14" s="36"/>
      <c r="W14" s="36"/>
      <c r="X14" s="36"/>
      <c r="Y14" s="36"/>
      <c r="Z14" s="36"/>
      <c r="AA14" s="36"/>
    </row>
    <row r="15" ht="24.75" customHeight="1">
      <c r="A15" s="30"/>
      <c r="B15" s="31" t="s">
        <v>148</v>
      </c>
      <c r="C15" s="21"/>
      <c r="D15" s="21"/>
      <c r="E15" s="22"/>
      <c r="F15" s="29"/>
      <c r="G15" s="29"/>
      <c r="H15" s="29"/>
      <c r="I15" s="29"/>
      <c r="J15" s="29"/>
      <c r="K15" s="29"/>
      <c r="L15" s="29"/>
      <c r="M15" s="29"/>
      <c r="N15" s="29"/>
      <c r="O15" s="29"/>
      <c r="P15" s="29"/>
      <c r="Q15" s="29"/>
      <c r="R15" s="29"/>
      <c r="S15" s="29"/>
      <c r="T15" s="29"/>
      <c r="U15" s="29"/>
      <c r="V15" s="29"/>
      <c r="W15" s="29"/>
      <c r="X15" s="29"/>
      <c r="Y15" s="29"/>
      <c r="Z15" s="29"/>
      <c r="AA15" s="29"/>
    </row>
    <row r="16" ht="129.75" customHeight="1">
      <c r="A16" s="32"/>
      <c r="B16" s="32" t="s">
        <v>149</v>
      </c>
      <c r="C16" s="32" t="s">
        <v>150</v>
      </c>
      <c r="D16" s="32" t="s">
        <v>151</v>
      </c>
      <c r="E16" s="32" t="s">
        <v>152</v>
      </c>
      <c r="F16" s="29"/>
      <c r="G16" s="29"/>
      <c r="H16" s="29"/>
      <c r="I16" s="29"/>
      <c r="J16" s="29"/>
      <c r="K16" s="29"/>
      <c r="L16" s="29"/>
      <c r="M16" s="29"/>
      <c r="N16" s="29"/>
      <c r="O16" s="29"/>
      <c r="P16" s="29"/>
      <c r="Q16" s="29"/>
      <c r="R16" s="29"/>
      <c r="S16" s="29"/>
      <c r="T16" s="29"/>
      <c r="U16" s="29"/>
      <c r="V16" s="29"/>
      <c r="W16" s="29"/>
      <c r="X16" s="29"/>
      <c r="Y16" s="29"/>
      <c r="Z16" s="29"/>
      <c r="AA16" s="29"/>
    </row>
    <row r="17" ht="129.75" customHeight="1">
      <c r="A17" s="32"/>
      <c r="B17" s="32" t="s">
        <v>153</v>
      </c>
      <c r="C17" s="32" t="s">
        <v>154</v>
      </c>
      <c r="D17" s="29"/>
      <c r="E17" s="32" t="s">
        <v>155</v>
      </c>
      <c r="F17" s="33">
        <f>F34/'standalone-income statemen'!B19</f>
        <v>138.8478261</v>
      </c>
      <c r="G17" s="33">
        <f>G34/'standalone-income statemen'!C19</f>
        <v>110.4360902</v>
      </c>
      <c r="H17" s="33">
        <f>H34/'standalone-income statemen'!D19</f>
        <v>33.09973753</v>
      </c>
      <c r="I17" s="33">
        <f>I34/'standalone-income statemen'!E19</f>
        <v>16.5706619</v>
      </c>
      <c r="J17" s="33">
        <f>J34/'standalone-income statemen'!F19</f>
        <v>11.95922747</v>
      </c>
      <c r="K17" s="29"/>
      <c r="L17" s="29"/>
      <c r="M17" s="29"/>
      <c r="N17" s="29"/>
      <c r="O17" s="29"/>
      <c r="P17" s="29"/>
      <c r="Q17" s="29"/>
      <c r="R17" s="29"/>
      <c r="S17" s="29"/>
      <c r="T17" s="29"/>
      <c r="U17" s="29"/>
      <c r="V17" s="29"/>
      <c r="W17" s="29"/>
      <c r="X17" s="29"/>
      <c r="Y17" s="29"/>
      <c r="Z17" s="29"/>
      <c r="AA17" s="29"/>
    </row>
    <row r="18" ht="24.0" customHeight="1">
      <c r="A18" s="30"/>
      <c r="B18" s="31" t="s">
        <v>156</v>
      </c>
      <c r="C18" s="21"/>
      <c r="D18" s="21"/>
      <c r="E18" s="22"/>
      <c r="F18" s="29"/>
      <c r="G18" s="29"/>
      <c r="H18" s="29"/>
      <c r="I18" s="29"/>
      <c r="J18" s="29"/>
      <c r="K18" s="29"/>
      <c r="L18" s="29"/>
      <c r="M18" s="29"/>
      <c r="N18" s="29"/>
      <c r="O18" s="29"/>
      <c r="P18" s="29"/>
      <c r="Q18" s="29"/>
      <c r="R18" s="29"/>
      <c r="S18" s="29"/>
      <c r="T18" s="29"/>
      <c r="U18" s="29"/>
      <c r="V18" s="29"/>
      <c r="W18" s="29"/>
      <c r="X18" s="29"/>
      <c r="Y18" s="29"/>
      <c r="Z18" s="29"/>
      <c r="AA18" s="29"/>
    </row>
    <row r="19" ht="129.75" customHeight="1">
      <c r="A19" s="32"/>
      <c r="B19" s="32" t="s">
        <v>157</v>
      </c>
      <c r="C19" s="32" t="s">
        <v>158</v>
      </c>
      <c r="D19" s="29"/>
      <c r="E19" s="32" t="s">
        <v>159</v>
      </c>
      <c r="F19" s="33">
        <f>'standalone-income statemen'!B9/(('standalone- balance sheet'!B44+'standalone- balance sheet'!C44)/2)</f>
        <v>1.078309757</v>
      </c>
      <c r="G19" s="33">
        <f>'standalone-income statemen'!C9/(('standalone- balance sheet'!C44+'standalone- balance sheet'!D44)/2)</f>
        <v>1.041298634</v>
      </c>
      <c r="H19" s="33">
        <f>'standalone-income statemen'!D9/(('standalone- balance sheet'!D44+'standalone- balance sheet'!E44)/2)</f>
        <v>1.167688465</v>
      </c>
      <c r="I19" s="33">
        <f>'standalone-income statemen'!E9/(('standalone- balance sheet'!E44+'standalone- balance sheet'!F44)/2)</f>
        <v>1.564051614</v>
      </c>
      <c r="J19" s="33">
        <f>'standalone-income statemen'!F9/(('standalone- balance sheet'!F44+'standalone- balance sheet'!G44)/2)</f>
        <v>2.855297712</v>
      </c>
      <c r="K19" s="32" t="s">
        <v>160</v>
      </c>
      <c r="L19" s="32">
        <v>0.76</v>
      </c>
      <c r="M19" s="32"/>
      <c r="N19" s="32"/>
      <c r="O19" s="32"/>
      <c r="P19" s="29"/>
      <c r="Q19" s="29"/>
      <c r="R19" s="29"/>
      <c r="S19" s="29"/>
      <c r="T19" s="29"/>
      <c r="U19" s="29"/>
      <c r="V19" s="29"/>
      <c r="W19" s="29"/>
      <c r="X19" s="29"/>
      <c r="Y19" s="29"/>
      <c r="Z19" s="29"/>
      <c r="AA19" s="29"/>
    </row>
    <row r="20" ht="129.75" customHeight="1">
      <c r="A20" s="32"/>
      <c r="B20" s="32" t="s">
        <v>161</v>
      </c>
      <c r="C20" s="32" t="s">
        <v>162</v>
      </c>
      <c r="D20" s="29"/>
      <c r="E20" s="32" t="s">
        <v>163</v>
      </c>
      <c r="F20" s="33">
        <f>'standalone-income statemen'!B9/'standalone- balance sheet'!B30</f>
        <v>2.071973003</v>
      </c>
      <c r="G20" s="33">
        <f>'standalone-income statemen'!C9/'standalone- balance sheet'!C30</f>
        <v>2.961683809</v>
      </c>
      <c r="H20" s="33">
        <f>'standalone-income statemen'!D9/'standalone- balance sheet'!D30</f>
        <v>2.851851852</v>
      </c>
      <c r="I20" s="33">
        <f>'standalone-income statemen'!E9/'standalone- balance sheet'!E30</f>
        <v>3.080757035</v>
      </c>
      <c r="J20" s="33">
        <f>'standalone-income statemen'!F9/'standalone- balance sheet'!F30</f>
        <v>3.483295195</v>
      </c>
      <c r="K20" s="32" t="s">
        <v>164</v>
      </c>
      <c r="L20" s="34">
        <v>1.73</v>
      </c>
      <c r="M20" s="29"/>
      <c r="N20" s="29"/>
      <c r="O20" s="29"/>
      <c r="P20" s="29"/>
      <c r="Q20" s="29"/>
      <c r="R20" s="29"/>
      <c r="S20" s="29"/>
      <c r="T20" s="29"/>
      <c r="U20" s="29"/>
      <c r="V20" s="29"/>
      <c r="W20" s="29"/>
      <c r="X20" s="29"/>
      <c r="Y20" s="29"/>
      <c r="Z20" s="29"/>
      <c r="AA20" s="29"/>
    </row>
    <row r="21" ht="129.75" customHeight="1">
      <c r="A21" s="40"/>
      <c r="B21" s="40" t="s">
        <v>165</v>
      </c>
      <c r="C21" s="40" t="s">
        <v>166</v>
      </c>
      <c r="D21" s="33"/>
      <c r="E21" s="40" t="s">
        <v>167</v>
      </c>
      <c r="F21" s="33">
        <f>'standalone-income statemen'!B15/(('standalone- balance sheet'!B38+'standalone- balance sheet'!C38)/2)</f>
        <v>4.897017589</v>
      </c>
      <c r="G21" s="33">
        <f>'standalone-income statemen'!C15/(('standalone- balance sheet'!C38+'standalone- balance sheet'!D38)/2)</f>
        <v>4.791939357</v>
      </c>
      <c r="H21" s="33">
        <f>'standalone-income statemen'!D15/(('standalone- balance sheet'!D38+'standalone- balance sheet'!E38)/2)</f>
        <v>4.24604795</v>
      </c>
      <c r="I21" s="33">
        <f>'standalone-income statemen'!E15/(('standalone- balance sheet'!E38+'standalone- balance sheet'!F38)/2)</f>
        <v>4.396331029</v>
      </c>
      <c r="J21" s="33">
        <f>'standalone-income statemen'!F15/(('standalone- balance sheet'!F38+'standalone- balance sheet'!G38)/2)</f>
        <v>8.553872782</v>
      </c>
      <c r="K21" s="40" t="s">
        <v>168</v>
      </c>
      <c r="L21" s="34">
        <v>5.1</v>
      </c>
      <c r="M21" s="33"/>
      <c r="N21" s="33"/>
      <c r="O21" s="33"/>
      <c r="P21" s="33"/>
      <c r="Q21" s="33"/>
      <c r="R21" s="33"/>
      <c r="S21" s="33"/>
      <c r="T21" s="33"/>
      <c r="U21" s="33"/>
      <c r="V21" s="33"/>
      <c r="W21" s="33"/>
      <c r="X21" s="33"/>
      <c r="Y21" s="33"/>
      <c r="Z21" s="33"/>
      <c r="AA21" s="33"/>
    </row>
    <row r="22" ht="129.75" customHeight="1">
      <c r="A22" s="36"/>
      <c r="B22" s="36"/>
      <c r="C22" s="37"/>
      <c r="D22" s="38" t="s">
        <v>169</v>
      </c>
      <c r="E22" s="36"/>
      <c r="F22" s="38">
        <v>4.9</v>
      </c>
      <c r="G22" s="38">
        <v>4.79</v>
      </c>
      <c r="H22" s="38">
        <v>4.25</v>
      </c>
      <c r="I22" s="38">
        <v>8.14</v>
      </c>
      <c r="J22" s="38">
        <v>7.73</v>
      </c>
      <c r="K22" s="36"/>
      <c r="L22" s="36"/>
      <c r="M22" s="36"/>
      <c r="N22" s="36"/>
      <c r="O22" s="36"/>
      <c r="P22" s="36"/>
      <c r="Q22" s="36"/>
      <c r="R22" s="36"/>
      <c r="S22" s="36"/>
      <c r="T22" s="36"/>
      <c r="U22" s="36"/>
      <c r="V22" s="36"/>
      <c r="W22" s="36"/>
      <c r="X22" s="36"/>
      <c r="Y22" s="36"/>
      <c r="Z22" s="36"/>
      <c r="AA22" s="36"/>
    </row>
    <row r="23" ht="129.75" customHeight="1">
      <c r="A23" s="32"/>
      <c r="B23" s="32" t="s">
        <v>170</v>
      </c>
      <c r="C23" s="32" t="s">
        <v>171</v>
      </c>
      <c r="D23" s="32" t="s">
        <v>172</v>
      </c>
      <c r="E23" s="32" t="s">
        <v>173</v>
      </c>
      <c r="F23" s="33">
        <f>'standalone-income statemen'!B9/(('standalone- balance sheet'!B39+'standalone- balance sheet'!C39)/2)</f>
        <v>5.747417689</v>
      </c>
      <c r="G23" s="33">
        <f>'standalone-income statemen'!C9/(('standalone- balance sheet'!C39+'standalone- balance sheet'!D39)/2)</f>
        <v>6.155374949</v>
      </c>
      <c r="H23" s="33">
        <f>'standalone-income statemen'!D9/(('standalone- balance sheet'!D39+'standalone- balance sheet'!E39)/2)</f>
        <v>6.380838429</v>
      </c>
      <c r="I23" s="33">
        <f>'standalone-income statemen'!E9/(('standalone- balance sheet'!E39+'standalone- balance sheet'!F39)/2)</f>
        <v>5.969854071</v>
      </c>
      <c r="J23" s="33">
        <f>'standalone-income statemen'!F9/(('standalone- balance sheet'!F39+'standalone- balance sheet'!G39)/2)</f>
        <v>10.26037554</v>
      </c>
      <c r="K23" s="32" t="s">
        <v>174</v>
      </c>
      <c r="L23" s="34">
        <v>7.4</v>
      </c>
      <c r="M23" s="29"/>
      <c r="N23" s="29"/>
      <c r="O23" s="29"/>
      <c r="P23" s="29"/>
      <c r="Q23" s="29"/>
      <c r="R23" s="29"/>
      <c r="S23" s="29"/>
      <c r="T23" s="29"/>
      <c r="U23" s="29"/>
      <c r="V23" s="29"/>
      <c r="W23" s="29"/>
      <c r="X23" s="29"/>
      <c r="Y23" s="29"/>
      <c r="Z23" s="29"/>
      <c r="AA23" s="29"/>
    </row>
    <row r="24" ht="129.75" customHeight="1">
      <c r="A24" s="32"/>
      <c r="B24" s="32" t="s">
        <v>175</v>
      </c>
      <c r="C24" s="32" t="s">
        <v>176</v>
      </c>
      <c r="D24" s="32"/>
      <c r="E24" s="32" t="s">
        <v>177</v>
      </c>
      <c r="F24" s="41">
        <f t="shared" ref="F24:J24" si="1">365/F23</f>
        <v>63.50678161</v>
      </c>
      <c r="G24" s="41">
        <f t="shared" si="1"/>
        <v>59.2977687</v>
      </c>
      <c r="H24" s="41">
        <f t="shared" si="1"/>
        <v>57.20251406</v>
      </c>
      <c r="I24" s="41">
        <f t="shared" si="1"/>
        <v>61.14052298</v>
      </c>
      <c r="J24" s="41">
        <f t="shared" si="1"/>
        <v>35.57374664</v>
      </c>
      <c r="K24" s="32" t="s">
        <v>178</v>
      </c>
      <c r="L24" s="34">
        <v>49.3</v>
      </c>
      <c r="M24" s="29"/>
      <c r="N24" s="29"/>
      <c r="O24" s="29"/>
      <c r="P24" s="29"/>
      <c r="Q24" s="29"/>
      <c r="R24" s="29"/>
      <c r="S24" s="29"/>
      <c r="T24" s="29"/>
      <c r="U24" s="29"/>
      <c r="V24" s="29"/>
      <c r="W24" s="29"/>
      <c r="X24" s="29"/>
      <c r="Y24" s="29"/>
      <c r="Z24" s="29"/>
      <c r="AA24" s="29"/>
    </row>
    <row r="25" ht="129.75" customHeight="1">
      <c r="A25" s="32"/>
      <c r="B25" s="32" t="s">
        <v>179</v>
      </c>
      <c r="C25" s="32" t="s">
        <v>180</v>
      </c>
      <c r="D25" s="32" t="s">
        <v>181</v>
      </c>
      <c r="E25" s="32" t="s">
        <v>182</v>
      </c>
      <c r="F25" s="33">
        <f>F26/(('standalone- balance sheet'!B18+'standalone- balance sheet'!C18)/2)</f>
        <v>3.056433409</v>
      </c>
      <c r="G25" s="33">
        <f>G26/(('standalone- balance sheet'!C18+'standalone- balance sheet'!D18)/2)</f>
        <v>2.815494341</v>
      </c>
      <c r="H25" s="33">
        <f>H26/(('standalone- balance sheet'!D18+'standalone- balance sheet'!E18)/2)</f>
        <v>2.473531589</v>
      </c>
      <c r="I25" s="33">
        <f>I26/(('standalone- balance sheet'!E18+'standalone- balance sheet'!F18)/2)</f>
        <v>2.485682058</v>
      </c>
      <c r="J25" s="33">
        <f>J26/(('standalone- balance sheet'!F18+'standalone- balance sheet'!G18)/2)</f>
        <v>4.632706988</v>
      </c>
      <c r="K25" s="29"/>
      <c r="L25" s="29"/>
      <c r="M25" s="29"/>
      <c r="N25" s="29"/>
      <c r="O25" s="29"/>
      <c r="P25" s="29"/>
      <c r="Q25" s="29"/>
      <c r="R25" s="29"/>
      <c r="S25" s="29"/>
      <c r="T25" s="29"/>
      <c r="U25" s="29"/>
      <c r="V25" s="29"/>
      <c r="W25" s="29"/>
      <c r="X25" s="29"/>
      <c r="Y25" s="29"/>
      <c r="Z25" s="29"/>
      <c r="AA25" s="29"/>
    </row>
    <row r="26" ht="129.75" customHeight="1">
      <c r="A26" s="36"/>
      <c r="B26" s="36"/>
      <c r="C26" s="36"/>
      <c r="D26" s="38" t="s">
        <v>183</v>
      </c>
      <c r="E26" s="36"/>
      <c r="F26" s="36">
        <f>'standalone-income statemen'!B15+'standalone-income statemen'!B16+'standalone-income statemen'!B17+'standalone-income statemen'!B20</f>
        <v>629.61</v>
      </c>
      <c r="G26" s="36">
        <f>'standalone-income statemen'!C15+'standalone-income statemen'!C16+'standalone-income statemen'!C17+'standalone-income statemen'!C20</f>
        <v>544.77</v>
      </c>
      <c r="H26" s="36">
        <f>'standalone-income statemen'!D15+'standalone-income statemen'!D16+'standalone-income statemen'!D17+'standalone-income statemen'!D20</f>
        <v>400.91</v>
      </c>
      <c r="I26" s="36">
        <f>'standalone-income statemen'!E15+'standalone-income statemen'!E16+'standalone-income statemen'!E17+'standalone-income statemen'!E20</f>
        <v>341.57</v>
      </c>
      <c r="J26" s="36">
        <f>'standalone-income statemen'!F15+'standalone-income statemen'!F16+'standalone-income statemen'!F17+'standalone-income statemen'!F20</f>
        <v>315.58</v>
      </c>
      <c r="K26" s="36"/>
      <c r="L26" s="36"/>
      <c r="M26" s="36"/>
      <c r="N26" s="36"/>
      <c r="O26" s="36"/>
      <c r="P26" s="36"/>
      <c r="Q26" s="36"/>
      <c r="R26" s="36"/>
      <c r="S26" s="36"/>
      <c r="T26" s="36"/>
      <c r="U26" s="36"/>
      <c r="V26" s="36"/>
      <c r="W26" s="36"/>
      <c r="X26" s="36"/>
      <c r="Y26" s="36"/>
      <c r="Z26" s="36"/>
      <c r="AA26" s="36"/>
    </row>
    <row r="27" ht="129.75" customHeight="1">
      <c r="A27" s="32"/>
      <c r="B27" s="32" t="s">
        <v>184</v>
      </c>
      <c r="C27" s="32" t="s">
        <v>185</v>
      </c>
      <c r="D27" s="32">
        <v>365.0</v>
      </c>
      <c r="E27" s="32" t="s">
        <v>186</v>
      </c>
      <c r="F27" s="33">
        <f t="shared" ref="F27:J27" si="2">365/F25</f>
        <v>119.4202363</v>
      </c>
      <c r="G27" s="33">
        <f t="shared" si="2"/>
        <v>129.6397562</v>
      </c>
      <c r="H27" s="33">
        <f t="shared" si="2"/>
        <v>147.5622958</v>
      </c>
      <c r="I27" s="33">
        <f t="shared" si="2"/>
        <v>146.8409843</v>
      </c>
      <c r="J27" s="33">
        <f t="shared" si="2"/>
        <v>78.78762913</v>
      </c>
      <c r="K27" s="29"/>
      <c r="L27" s="29"/>
      <c r="M27" s="29"/>
      <c r="N27" s="29"/>
      <c r="O27" s="29"/>
      <c r="P27" s="29"/>
      <c r="Q27" s="29"/>
      <c r="R27" s="29"/>
      <c r="S27" s="29"/>
      <c r="T27" s="29"/>
      <c r="U27" s="29"/>
      <c r="V27" s="29"/>
      <c r="W27" s="29"/>
      <c r="X27" s="29"/>
      <c r="Y27" s="29"/>
      <c r="Z27" s="29"/>
      <c r="AA27" s="29"/>
    </row>
    <row r="28" ht="24.0" customHeight="1">
      <c r="A28" s="30"/>
      <c r="B28" s="31" t="s">
        <v>187</v>
      </c>
      <c r="C28" s="21"/>
      <c r="D28" s="21"/>
      <c r="E28" s="22"/>
      <c r="F28" s="42"/>
      <c r="G28" s="42"/>
      <c r="H28" s="42"/>
      <c r="I28" s="42"/>
      <c r="J28" s="42"/>
      <c r="K28" s="29"/>
      <c r="L28" s="29"/>
      <c r="M28" s="29"/>
      <c r="N28" s="29"/>
      <c r="O28" s="29"/>
      <c r="P28" s="29"/>
      <c r="Q28" s="29"/>
      <c r="R28" s="29"/>
      <c r="S28" s="29"/>
      <c r="T28" s="29"/>
      <c r="U28" s="29"/>
      <c r="V28" s="29"/>
      <c r="W28" s="29"/>
      <c r="X28" s="29"/>
      <c r="Y28" s="29"/>
      <c r="Z28" s="29"/>
      <c r="AA28" s="29"/>
    </row>
    <row r="29" ht="129.75" customHeight="1">
      <c r="A29" s="32"/>
      <c r="B29" s="32" t="s">
        <v>188</v>
      </c>
      <c r="C29" s="32" t="s">
        <v>189</v>
      </c>
      <c r="D29" s="29"/>
      <c r="E29" s="32" t="s">
        <v>190</v>
      </c>
      <c r="F29" s="33">
        <f>('standalone-income statemen'!B27/'standalone-income statemen'!B8)*100</f>
        <v>14.59099716</v>
      </c>
      <c r="G29" s="33">
        <f>('standalone-income statemen'!C27/'standalone-income statemen'!C8)*100</f>
        <v>12.68210414</v>
      </c>
      <c r="H29" s="33">
        <f>('standalone-income statemen'!D27/'standalone-income statemen'!D8)*100</f>
        <v>13.59955552</v>
      </c>
      <c r="I29" s="33">
        <f>('standalone-income statemen'!E27/'standalone-income statemen'!E8)*100</f>
        <v>10.84397414</v>
      </c>
      <c r="J29" s="33">
        <f>('standalone-income statemen'!F27/'standalone-income statemen'!F8)*100</f>
        <v>6.385494679</v>
      </c>
      <c r="K29" s="29"/>
      <c r="L29" s="29"/>
      <c r="M29" s="29"/>
      <c r="N29" s="29"/>
      <c r="O29" s="29"/>
      <c r="P29" s="29"/>
      <c r="Q29" s="29"/>
      <c r="R29" s="29"/>
      <c r="S29" s="29"/>
      <c r="T29" s="29"/>
      <c r="U29" s="29"/>
      <c r="V29" s="29"/>
      <c r="W29" s="29"/>
      <c r="X29" s="29"/>
      <c r="Y29" s="29"/>
      <c r="Z29" s="29"/>
      <c r="AA29" s="29"/>
    </row>
    <row r="30" ht="129.75" customHeight="1">
      <c r="A30" s="32"/>
      <c r="B30" s="32" t="s">
        <v>191</v>
      </c>
      <c r="C30" s="32" t="s">
        <v>192</v>
      </c>
      <c r="D30" s="29"/>
      <c r="E30" s="32" t="s">
        <v>193</v>
      </c>
      <c r="F30" s="33">
        <f>('standalone-income statemen'!B37/'standalone-income statemen'!B9)*100</f>
        <v>12.35011654</v>
      </c>
      <c r="G30" s="33">
        <f>('standalone-income statemen'!C37/'standalone-income statemen'!C9)*100</f>
        <v>9.325729249</v>
      </c>
      <c r="H30" s="33">
        <f>('standalone-income statemen'!D37/'standalone-income statemen'!D9)*100</f>
        <v>9.840961178</v>
      </c>
      <c r="I30" s="33">
        <f>('standalone-income statemen'!E37/'standalone-income statemen'!E9)*100</f>
        <v>7.688720208</v>
      </c>
      <c r="J30" s="33">
        <f>('standalone-income statemen'!F37/'standalone-income statemen'!F9)*100</f>
        <v>5.043452146</v>
      </c>
      <c r="K30" s="32" t="s">
        <v>194</v>
      </c>
      <c r="L30" s="43">
        <v>0.13</v>
      </c>
      <c r="M30" s="29"/>
      <c r="N30" s="29"/>
      <c r="O30" s="29"/>
      <c r="P30" s="29"/>
      <c r="Q30" s="29"/>
      <c r="R30" s="29"/>
      <c r="S30" s="29"/>
      <c r="T30" s="29"/>
      <c r="U30" s="29"/>
      <c r="V30" s="29"/>
      <c r="W30" s="29"/>
      <c r="X30" s="29"/>
      <c r="Y30" s="29"/>
      <c r="Z30" s="29"/>
      <c r="AA30" s="29"/>
    </row>
    <row r="31" ht="129.75" customHeight="1">
      <c r="A31" s="32"/>
      <c r="B31" s="32" t="s">
        <v>195</v>
      </c>
      <c r="C31" s="32" t="s">
        <v>196</v>
      </c>
      <c r="D31" s="29"/>
      <c r="E31" s="32" t="s">
        <v>197</v>
      </c>
      <c r="F31" s="33">
        <f>('standalone-income statemen'!B35/F10)*100</f>
        <v>16.54378574</v>
      </c>
      <c r="G31" s="33">
        <f>('standalone-income statemen'!C35/G10)*100</f>
        <v>12.43950449</v>
      </c>
      <c r="H31" s="33">
        <f>('standalone-income statemen'!D35/H10)*100</f>
        <v>12.15766353</v>
      </c>
      <c r="I31" s="33">
        <f>('standalone-income statemen'!E35/I10)*100</f>
        <v>20.19771028</v>
      </c>
      <c r="J31" s="33">
        <f>('standalone-income statemen'!F35/J10)*100</f>
        <v>14.52039989</v>
      </c>
      <c r="K31" s="29"/>
      <c r="L31" s="29"/>
      <c r="M31" s="29"/>
      <c r="N31" s="29"/>
      <c r="O31" s="29"/>
      <c r="P31" s="29"/>
      <c r="Q31" s="29"/>
      <c r="R31" s="29"/>
      <c r="S31" s="29"/>
      <c r="T31" s="29"/>
      <c r="U31" s="29"/>
      <c r="V31" s="29"/>
      <c r="W31" s="29"/>
      <c r="X31" s="29"/>
      <c r="Y31" s="29"/>
      <c r="Z31" s="29"/>
      <c r="AA31" s="29"/>
    </row>
    <row r="32" ht="129.75" customHeight="1">
      <c r="A32" s="32"/>
      <c r="B32" s="32" t="s">
        <v>198</v>
      </c>
      <c r="C32" s="32" t="s">
        <v>199</v>
      </c>
      <c r="D32" s="29"/>
      <c r="E32" s="32" t="s">
        <v>200</v>
      </c>
      <c r="F32" s="33">
        <f>('standalone-income statemen'!B35/'standalone- balance sheet'!B44)*100</f>
        <v>12.42840995</v>
      </c>
      <c r="G32" s="33">
        <f>('standalone-income statemen'!C35/'standalone- balance sheet'!C44)*100</f>
        <v>9.136962028</v>
      </c>
      <c r="H32" s="33">
        <f>('standalone-income statemen'!D35/'standalone- balance sheet'!D44)*100</f>
        <v>8.73440505</v>
      </c>
      <c r="I32" s="33">
        <f>('standalone-income statemen'!E35/'standalone- balance sheet'!E44)*100</f>
        <v>11.33045786</v>
      </c>
      <c r="J32" s="33">
        <f>('standalone-income statemen'!F35/'standalone- balance sheet'!F44)*100</f>
        <v>7.200278686</v>
      </c>
      <c r="K32" s="29"/>
      <c r="L32" s="29"/>
      <c r="M32" s="29"/>
      <c r="N32" s="29"/>
      <c r="O32" s="29"/>
      <c r="P32" s="29"/>
      <c r="Q32" s="29"/>
      <c r="R32" s="29"/>
      <c r="S32" s="29"/>
      <c r="T32" s="29"/>
      <c r="U32" s="29"/>
      <c r="V32" s="29"/>
      <c r="W32" s="29"/>
      <c r="X32" s="29"/>
      <c r="Y32" s="29"/>
      <c r="Z32" s="29"/>
      <c r="AA32" s="29"/>
    </row>
    <row r="33" ht="129.75" customHeight="1">
      <c r="A33" s="32"/>
      <c r="B33" s="32" t="s">
        <v>201</v>
      </c>
      <c r="C33" s="32" t="s">
        <v>202</v>
      </c>
      <c r="D33" s="32" t="s">
        <v>203</v>
      </c>
      <c r="E33" s="32" t="s">
        <v>204</v>
      </c>
      <c r="F33" s="33">
        <f t="shared" ref="F33:J33" si="3">(F35/F10)*100</f>
        <v>19.71862775</v>
      </c>
      <c r="G33" s="33">
        <f t="shared" si="3"/>
        <v>17.11338375</v>
      </c>
      <c r="H33" s="33">
        <f t="shared" si="3"/>
        <v>17.45486993</v>
      </c>
      <c r="I33" s="33">
        <f t="shared" si="3"/>
        <v>30.84787292</v>
      </c>
      <c r="J33" s="33">
        <f t="shared" si="3"/>
        <v>20.90245879</v>
      </c>
      <c r="K33" s="29"/>
      <c r="L33" s="29"/>
      <c r="M33" s="29"/>
      <c r="N33" s="29"/>
      <c r="O33" s="29"/>
      <c r="P33" s="29"/>
      <c r="Q33" s="29"/>
      <c r="R33" s="29"/>
      <c r="S33" s="29"/>
      <c r="T33" s="29"/>
      <c r="U33" s="29"/>
      <c r="V33" s="29"/>
      <c r="W33" s="29"/>
      <c r="X33" s="29"/>
      <c r="Y33" s="29"/>
      <c r="Z33" s="29"/>
      <c r="AA33" s="29"/>
    </row>
    <row r="34" ht="129.75" customHeight="1">
      <c r="A34" s="38"/>
      <c r="B34" s="38"/>
      <c r="C34" s="36"/>
      <c r="D34" s="38" t="s">
        <v>205</v>
      </c>
      <c r="E34" s="38"/>
      <c r="F34" s="36">
        <f>'standalone-income statemen'!B27+'standalone-income statemen'!B20+'standalone-income statemen'!B19</f>
        <v>191.61</v>
      </c>
      <c r="G34" s="36">
        <f>'standalone-income statemen'!C27+'standalone-income statemen'!C20+'standalone-income statemen'!C19</f>
        <v>146.88</v>
      </c>
      <c r="H34" s="36">
        <f>'standalone-income statemen'!D27+'standalone-income statemen'!D20+'standalone-income statemen'!D19</f>
        <v>126.11</v>
      </c>
      <c r="I34" s="36">
        <f>'standalone-income statemen'!E27+'standalone-income statemen'!E20+'standalone-income statemen'!E19</f>
        <v>92.63</v>
      </c>
      <c r="J34" s="36">
        <f>'standalone-income statemen'!F27+'standalone-income statemen'!F20+'standalone-income statemen'!F19</f>
        <v>55.73</v>
      </c>
      <c r="K34" s="36"/>
      <c r="L34" s="36"/>
      <c r="M34" s="36"/>
      <c r="N34" s="36"/>
      <c r="O34" s="36"/>
      <c r="P34" s="36"/>
      <c r="Q34" s="36"/>
      <c r="R34" s="36"/>
      <c r="S34" s="36"/>
      <c r="T34" s="36"/>
      <c r="U34" s="36"/>
      <c r="V34" s="36"/>
      <c r="W34" s="36"/>
      <c r="X34" s="36"/>
      <c r="Y34" s="36"/>
      <c r="Z34" s="36"/>
      <c r="AA34" s="36"/>
    </row>
    <row r="35" ht="129.75" customHeight="1">
      <c r="A35" s="38"/>
      <c r="B35" s="38"/>
      <c r="C35" s="36"/>
      <c r="D35" s="38" t="s">
        <v>206</v>
      </c>
      <c r="E35" s="38"/>
      <c r="F35" s="36">
        <f>F34-'standalone-income statemen'!B20</f>
        <v>157.26</v>
      </c>
      <c r="G35" s="36">
        <f>G34-'standalone-income statemen'!C20</f>
        <v>115.63</v>
      </c>
      <c r="H35" s="36">
        <f>H34-'standalone-income statemen'!D20</f>
        <v>101.72</v>
      </c>
      <c r="I35" s="36">
        <f>I34-'standalone-income statemen'!E20</f>
        <v>73.02</v>
      </c>
      <c r="J35" s="36">
        <f>J34-'standalone-income statemen'!F20</f>
        <v>38.68</v>
      </c>
      <c r="K35" s="36"/>
      <c r="L35" s="36"/>
      <c r="M35" s="36"/>
      <c r="N35" s="36"/>
      <c r="O35" s="36"/>
      <c r="P35" s="36"/>
      <c r="Q35" s="36"/>
      <c r="R35" s="36"/>
      <c r="S35" s="36"/>
      <c r="T35" s="36"/>
      <c r="U35" s="36"/>
      <c r="V35" s="36"/>
      <c r="W35" s="36"/>
      <c r="X35" s="36"/>
      <c r="Y35" s="36"/>
      <c r="Z35" s="36"/>
      <c r="AA35" s="36"/>
    </row>
    <row r="36" ht="129.75" customHeight="1">
      <c r="A36" s="32"/>
      <c r="B36" s="32" t="s">
        <v>207</v>
      </c>
      <c r="C36" s="29"/>
      <c r="D36" s="29"/>
      <c r="E36" s="29"/>
      <c r="F36" s="32"/>
      <c r="G36" s="32"/>
      <c r="H36" s="32"/>
      <c r="I36" s="32"/>
      <c r="J36" s="32"/>
      <c r="K36" s="29"/>
      <c r="L36" s="29"/>
      <c r="M36" s="29"/>
      <c r="N36" s="29"/>
      <c r="O36" s="29"/>
      <c r="P36" s="29"/>
      <c r="Q36" s="29"/>
      <c r="R36" s="29"/>
      <c r="S36" s="29"/>
      <c r="T36" s="29"/>
      <c r="U36" s="29"/>
      <c r="V36" s="29"/>
      <c r="W36" s="29"/>
      <c r="X36" s="29"/>
      <c r="Y36" s="29"/>
      <c r="Z36" s="29"/>
      <c r="AA36" s="29"/>
    </row>
    <row r="37" ht="129.75" customHeight="1">
      <c r="A37" s="36"/>
      <c r="B37" s="36"/>
      <c r="C37" s="37"/>
      <c r="D37" s="38" t="s">
        <v>208</v>
      </c>
      <c r="E37" s="36"/>
      <c r="F37" s="44">
        <f>(('standalone-income statemen'!B31+'standalone-income statemen'!B32)/'standalone-income statemen'!B29)*100</f>
        <v>25.83397485</v>
      </c>
      <c r="G37" s="44">
        <f>(('standalone-income statemen'!C31+'standalone-income statemen'!C32)/'standalone-income statemen'!C29)*100</f>
        <v>26.45669291</v>
      </c>
      <c r="H37" s="44">
        <f>(('standalone-income statemen'!D31+'standalone-income statemen'!D32)/'standalone-income statemen'!D29)*100</f>
        <v>28.49555714</v>
      </c>
      <c r="I37" s="44">
        <f>(('standalone-income statemen'!E31+'standalone-income statemen'!E32)/'standalone-income statemen'!E29)*100</f>
        <v>29.08201097</v>
      </c>
      <c r="J37" s="44">
        <f>(('standalone-income statemen'!F31+'standalone-income statemen'!F32)/'standalone-income statemen'!F29)*100</f>
        <v>20.29071492</v>
      </c>
      <c r="K37" s="36"/>
      <c r="L37" s="36"/>
      <c r="M37" s="36"/>
      <c r="N37" s="36"/>
      <c r="O37" s="36"/>
      <c r="P37" s="36"/>
      <c r="Q37" s="36"/>
      <c r="R37" s="36"/>
      <c r="S37" s="36"/>
      <c r="T37" s="36"/>
      <c r="U37" s="36"/>
      <c r="V37" s="36"/>
      <c r="W37" s="36"/>
      <c r="X37" s="36"/>
      <c r="Y37" s="36"/>
      <c r="Z37" s="36"/>
      <c r="AA37" s="36"/>
    </row>
    <row r="38" ht="129.75" customHeight="1">
      <c r="A38" s="32"/>
      <c r="B38" s="32" t="s">
        <v>201</v>
      </c>
      <c r="C38" s="32" t="s">
        <v>209</v>
      </c>
      <c r="D38" s="29"/>
      <c r="E38" s="32" t="s">
        <v>204</v>
      </c>
      <c r="F38" s="33">
        <f t="shared" ref="F38:J38" si="4">((F35*F37)/F10)*100</f>
        <v>509.4105333</v>
      </c>
      <c r="G38" s="33">
        <f t="shared" si="4"/>
        <v>452.7635386</v>
      </c>
      <c r="H38" s="33">
        <f t="shared" si="4"/>
        <v>497.3862435</v>
      </c>
      <c r="I38" s="33">
        <f t="shared" si="4"/>
        <v>897.1181789</v>
      </c>
      <c r="J38" s="33">
        <f t="shared" si="4"/>
        <v>424.1258326</v>
      </c>
      <c r="K38" s="29"/>
      <c r="L38" s="29"/>
      <c r="M38" s="29"/>
      <c r="N38" s="29"/>
      <c r="O38" s="29"/>
      <c r="P38" s="29"/>
      <c r="Q38" s="29"/>
      <c r="R38" s="29"/>
      <c r="S38" s="29"/>
      <c r="T38" s="29"/>
      <c r="U38" s="29"/>
      <c r="V38" s="29"/>
      <c r="W38" s="29"/>
      <c r="X38" s="29"/>
      <c r="Y38" s="29"/>
      <c r="Z38" s="29"/>
      <c r="AA38" s="29"/>
    </row>
    <row r="39" ht="129.75" customHeight="1">
      <c r="A39" s="38"/>
      <c r="B39" s="38" t="s">
        <v>210</v>
      </c>
      <c r="C39" s="37"/>
      <c r="D39" s="38" t="s">
        <v>211</v>
      </c>
      <c r="E39" s="36"/>
      <c r="F39" s="45">
        <v>0.2517</v>
      </c>
      <c r="G39" s="45">
        <v>0.2517</v>
      </c>
      <c r="H39" s="45">
        <v>0.2517</v>
      </c>
      <c r="I39" s="45">
        <v>0.2517</v>
      </c>
      <c r="J39" s="45">
        <v>0.2517</v>
      </c>
      <c r="K39" s="36"/>
      <c r="L39" s="36"/>
      <c r="M39" s="36"/>
      <c r="N39" s="36"/>
      <c r="O39" s="36"/>
      <c r="P39" s="36"/>
      <c r="Q39" s="36"/>
      <c r="R39" s="36"/>
      <c r="S39" s="36"/>
      <c r="T39" s="36"/>
      <c r="U39" s="36"/>
      <c r="V39" s="36"/>
      <c r="W39" s="36"/>
      <c r="X39" s="36"/>
      <c r="Y39" s="36"/>
      <c r="Z39" s="36"/>
      <c r="AA39" s="36"/>
    </row>
    <row r="40" ht="129.75" customHeight="1">
      <c r="A40" s="32"/>
      <c r="B40" s="32" t="s">
        <v>212</v>
      </c>
      <c r="C40" s="32" t="s">
        <v>213</v>
      </c>
      <c r="D40" s="29"/>
      <c r="E40" s="32" t="s">
        <v>214</v>
      </c>
      <c r="F40" s="33">
        <f>('standalone-income statemen'!B35/'standalone- balance sheet'!B9)*100</f>
        <v>16.99972943</v>
      </c>
      <c r="G40" s="33">
        <f>('standalone-income statemen'!C35/'standalone- balance sheet'!C9)*100</f>
        <v>12.93355492</v>
      </c>
      <c r="H40" s="33">
        <f>('standalone-income statemen'!D35/'standalone- balance sheet'!D9)*100</f>
        <v>12.57342633</v>
      </c>
      <c r="I40" s="33">
        <f>('standalone-income statemen'!E35/'standalone- balance sheet'!E9)*100</f>
        <v>26.74685315</v>
      </c>
      <c r="J40" s="33">
        <f>('standalone-income statemen'!F35/'standalone- balance sheet'!F9)*100</f>
        <v>20.80365438</v>
      </c>
      <c r="K40" s="32" t="s">
        <v>215</v>
      </c>
      <c r="L40" s="43">
        <v>0.184</v>
      </c>
      <c r="M40" s="29"/>
      <c r="N40" s="29"/>
      <c r="O40" s="29"/>
      <c r="P40" s="29"/>
      <c r="Q40" s="29"/>
      <c r="R40" s="29"/>
      <c r="S40" s="29"/>
      <c r="T40" s="29"/>
      <c r="U40" s="29"/>
      <c r="V40" s="29"/>
      <c r="W40" s="29"/>
      <c r="X40" s="29"/>
      <c r="Y40" s="29"/>
      <c r="Z40" s="29"/>
      <c r="AA40" s="29"/>
    </row>
    <row r="41" ht="129.75" customHeight="1">
      <c r="A41" s="32"/>
      <c r="B41" s="32" t="s">
        <v>216</v>
      </c>
      <c r="C41" s="32" t="s">
        <v>217</v>
      </c>
      <c r="D41" s="29"/>
      <c r="E41" s="32" t="s">
        <v>218</v>
      </c>
      <c r="F41" s="33">
        <f>('standalone-income statemen'!B35*10000000)/F42</f>
        <v>27.72531271</v>
      </c>
      <c r="G41" s="33">
        <f>('standalone-income statemen'!C35*10000000)/G42</f>
        <v>17.66907131</v>
      </c>
      <c r="H41" s="33">
        <f>('standalone-income statemen'!D35*10000000)/H42</f>
        <v>14.89415469</v>
      </c>
      <c r="I41" s="33">
        <f>('standalone-income statemen'!E35*10000000)/I42</f>
        <v>16.47361027</v>
      </c>
      <c r="J41" s="33">
        <f>('standalone-income statemen'!F35*10000000)/J42</f>
        <v>9.313086238</v>
      </c>
      <c r="K41" s="29"/>
      <c r="L41" s="29"/>
      <c r="M41" s="29"/>
      <c r="N41" s="29"/>
      <c r="O41" s="29"/>
      <c r="P41" s="29"/>
      <c r="Q41" s="29"/>
      <c r="R41" s="29"/>
      <c r="S41" s="29"/>
      <c r="T41" s="29"/>
      <c r="U41" s="29"/>
      <c r="V41" s="29"/>
      <c r="W41" s="29"/>
      <c r="X41" s="29"/>
      <c r="Y41" s="29"/>
      <c r="Z41" s="29"/>
      <c r="AA41" s="29"/>
    </row>
    <row r="42" ht="129.75" customHeight="1">
      <c r="A42" s="36"/>
      <c r="B42" s="36"/>
      <c r="C42" s="37"/>
      <c r="D42" s="38" t="s">
        <v>219</v>
      </c>
      <c r="E42" s="36"/>
      <c r="F42" s="46">
        <v>4.7588282E7</v>
      </c>
      <c r="G42" s="46">
        <v>4.7568997E7</v>
      </c>
      <c r="H42" s="46">
        <v>4.7568997E7</v>
      </c>
      <c r="I42" s="38">
        <v>2.9022175E7</v>
      </c>
      <c r="J42" s="38">
        <v>2.8851875E7</v>
      </c>
      <c r="K42" s="36"/>
      <c r="L42" s="36"/>
      <c r="M42" s="36"/>
      <c r="N42" s="36"/>
      <c r="O42" s="36"/>
      <c r="P42" s="36"/>
      <c r="Q42" s="36"/>
      <c r="R42" s="36"/>
      <c r="S42" s="36"/>
      <c r="T42" s="36"/>
      <c r="U42" s="36"/>
      <c r="V42" s="36"/>
      <c r="W42" s="36"/>
      <c r="X42" s="36"/>
      <c r="Y42" s="36"/>
      <c r="Z42" s="36"/>
      <c r="AA42" s="36"/>
    </row>
    <row r="43" ht="129.75" customHeight="1">
      <c r="A43" s="32"/>
      <c r="B43" s="32" t="s">
        <v>220</v>
      </c>
      <c r="C43" s="32" t="s">
        <v>221</v>
      </c>
      <c r="D43" s="29"/>
      <c r="E43" s="32" t="s">
        <v>222</v>
      </c>
      <c r="F43" s="33">
        <f>3.5</f>
        <v>3.5</v>
      </c>
      <c r="G43" s="33">
        <f t="shared" ref="G43:J43" si="5">(G44*100000)/G42</f>
        <v>3.000000189</v>
      </c>
      <c r="H43" s="33">
        <f t="shared" si="5"/>
        <v>0</v>
      </c>
      <c r="I43" s="33">
        <f t="shared" si="5"/>
        <v>0</v>
      </c>
      <c r="J43" s="33">
        <f t="shared" si="5"/>
        <v>0</v>
      </c>
      <c r="K43" s="29"/>
      <c r="L43" s="29"/>
      <c r="M43" s="29"/>
      <c r="N43" s="29"/>
      <c r="O43" s="29"/>
      <c r="P43" s="29"/>
      <c r="Q43" s="29"/>
      <c r="R43" s="29"/>
      <c r="S43" s="29"/>
      <c r="T43" s="29"/>
      <c r="U43" s="29"/>
      <c r="V43" s="29"/>
      <c r="W43" s="29"/>
      <c r="X43" s="29"/>
      <c r="Y43" s="29"/>
      <c r="Z43" s="29"/>
      <c r="AA43" s="29"/>
    </row>
    <row r="44" ht="129.75" customHeight="1">
      <c r="A44" s="36"/>
      <c r="B44" s="36"/>
      <c r="C44" s="37"/>
      <c r="D44" s="38" t="s">
        <v>223</v>
      </c>
      <c r="E44" s="36"/>
      <c r="F44" s="47">
        <v>1427.07</v>
      </c>
      <c r="G44" s="47">
        <v>1427.07</v>
      </c>
      <c r="H44" s="38">
        <v>0.0</v>
      </c>
      <c r="I44" s="38">
        <v>0.0</v>
      </c>
      <c r="J44" s="38">
        <v>0.0</v>
      </c>
      <c r="K44" s="36"/>
      <c r="L44" s="36"/>
      <c r="M44" s="36"/>
      <c r="N44" s="36"/>
      <c r="O44" s="36"/>
      <c r="P44" s="36"/>
      <c r="Q44" s="36"/>
      <c r="R44" s="36"/>
      <c r="S44" s="36"/>
      <c r="T44" s="36"/>
      <c r="U44" s="36"/>
      <c r="V44" s="36"/>
      <c r="W44" s="36"/>
      <c r="X44" s="36"/>
      <c r="Y44" s="36"/>
      <c r="Z44" s="36"/>
      <c r="AA44" s="36"/>
    </row>
    <row r="45" ht="129.75" customHeight="1">
      <c r="A45" s="32"/>
      <c r="B45" s="32" t="s">
        <v>224</v>
      </c>
      <c r="C45" s="32" t="s">
        <v>225</v>
      </c>
      <c r="D45" s="29"/>
      <c r="E45" s="32" t="s">
        <v>226</v>
      </c>
      <c r="F45" s="33">
        <f>(F43/F41)*100</f>
        <v>12.62384319</v>
      </c>
      <c r="G45" s="40">
        <v>0.0</v>
      </c>
      <c r="H45" s="29">
        <f t="shared" ref="H45:J45" si="6">(H43/H41)*100</f>
        <v>0</v>
      </c>
      <c r="I45" s="29">
        <f t="shared" si="6"/>
        <v>0</v>
      </c>
      <c r="J45" s="29">
        <f t="shared" si="6"/>
        <v>0</v>
      </c>
      <c r="K45" s="29"/>
      <c r="L45" s="29"/>
      <c r="M45" s="29"/>
      <c r="N45" s="29"/>
      <c r="O45" s="29"/>
      <c r="P45" s="29"/>
      <c r="Q45" s="29"/>
      <c r="R45" s="29"/>
      <c r="S45" s="29"/>
      <c r="T45" s="29"/>
      <c r="U45" s="29"/>
      <c r="V45" s="29"/>
      <c r="W45" s="29"/>
      <c r="X45" s="29"/>
      <c r="Y45" s="29"/>
      <c r="Z45" s="29"/>
      <c r="AA45" s="29"/>
    </row>
    <row r="46" ht="24.75" customHeight="1">
      <c r="A46" s="30"/>
      <c r="B46" s="31" t="s">
        <v>227</v>
      </c>
      <c r="C46" s="21"/>
      <c r="D46" s="21"/>
      <c r="E46" s="22"/>
      <c r="F46" s="35"/>
      <c r="G46" s="29"/>
      <c r="H46" s="29"/>
      <c r="I46" s="32"/>
      <c r="J46" s="48"/>
      <c r="K46" s="29"/>
      <c r="L46" s="29"/>
      <c r="M46" s="29"/>
      <c r="N46" s="29"/>
      <c r="O46" s="29"/>
      <c r="P46" s="29"/>
      <c r="Q46" s="29"/>
      <c r="R46" s="29"/>
      <c r="S46" s="29"/>
      <c r="T46" s="29"/>
      <c r="U46" s="29"/>
      <c r="V46" s="29"/>
      <c r="W46" s="29"/>
      <c r="X46" s="29"/>
      <c r="Y46" s="29"/>
      <c r="Z46" s="29"/>
      <c r="AA46" s="29"/>
    </row>
    <row r="47" ht="129.75" customHeight="1">
      <c r="A47" s="32"/>
      <c r="B47" s="32" t="s">
        <v>228</v>
      </c>
      <c r="C47" s="29"/>
      <c r="D47" s="29"/>
      <c r="E47" s="29"/>
      <c r="F47" s="49">
        <v>1006.05</v>
      </c>
      <c r="G47" s="50">
        <v>1599.33</v>
      </c>
      <c r="H47" s="50">
        <v>2386.12</v>
      </c>
      <c r="I47" s="29"/>
      <c r="J47" s="29"/>
      <c r="K47" s="29"/>
      <c r="L47" s="29"/>
      <c r="M47" s="29"/>
      <c r="N47" s="29"/>
      <c r="O47" s="29"/>
      <c r="P47" s="29"/>
      <c r="Q47" s="29"/>
      <c r="R47" s="29"/>
      <c r="S47" s="29"/>
      <c r="T47" s="29"/>
      <c r="U47" s="29"/>
      <c r="V47" s="29"/>
      <c r="W47" s="29"/>
      <c r="X47" s="29"/>
      <c r="Y47" s="29"/>
      <c r="Z47" s="29"/>
      <c r="AA47" s="29"/>
    </row>
    <row r="48" ht="129.75" customHeight="1">
      <c r="A48" s="32"/>
      <c r="B48" s="32" t="s">
        <v>229</v>
      </c>
      <c r="C48" s="32" t="s">
        <v>230</v>
      </c>
      <c r="D48" s="29"/>
      <c r="E48" s="32" t="s">
        <v>231</v>
      </c>
      <c r="F48" s="33">
        <f t="shared" ref="F48:J48" si="7">F47/F41</f>
        <v>36.28633554</v>
      </c>
      <c r="G48" s="33">
        <f t="shared" si="7"/>
        <v>90.51579295</v>
      </c>
      <c r="H48" s="33">
        <f t="shared" si="7"/>
        <v>160.2051307</v>
      </c>
      <c r="I48" s="29">
        <f t="shared" si="7"/>
        <v>0</v>
      </c>
      <c r="J48" s="29">
        <f t="shared" si="7"/>
        <v>0</v>
      </c>
      <c r="K48" s="29"/>
      <c r="L48" s="29"/>
      <c r="M48" s="29"/>
      <c r="N48" s="29"/>
      <c r="O48" s="29"/>
      <c r="P48" s="29"/>
      <c r="Q48" s="29"/>
      <c r="R48" s="29"/>
      <c r="S48" s="29"/>
      <c r="T48" s="29"/>
      <c r="U48" s="29"/>
      <c r="V48" s="29"/>
      <c r="W48" s="29"/>
      <c r="X48" s="29"/>
      <c r="Y48" s="29"/>
      <c r="Z48" s="29"/>
      <c r="AA48" s="29"/>
    </row>
    <row r="49" ht="129.75" customHeight="1">
      <c r="A49" s="32"/>
      <c r="B49" s="32" t="s">
        <v>232</v>
      </c>
      <c r="C49" s="32" t="s">
        <v>233</v>
      </c>
      <c r="D49" s="29"/>
      <c r="E49" s="32" t="s">
        <v>234</v>
      </c>
      <c r="F49" s="33">
        <f t="shared" ref="F49:H49" si="8">(F43/F47)*100</f>
        <v>0.3478952338</v>
      </c>
      <c r="G49" s="33">
        <f t="shared" si="8"/>
        <v>0.1875785603</v>
      </c>
      <c r="H49" s="33">
        <f t="shared" si="8"/>
        <v>0</v>
      </c>
      <c r="I49" s="29"/>
      <c r="J49" s="29"/>
      <c r="K49" s="29"/>
      <c r="L49" s="29"/>
      <c r="M49" s="29"/>
      <c r="N49" s="29"/>
      <c r="O49" s="29"/>
      <c r="P49" s="29"/>
      <c r="Q49" s="29"/>
      <c r="R49" s="29"/>
      <c r="S49" s="29"/>
      <c r="T49" s="29"/>
      <c r="U49" s="29"/>
      <c r="V49" s="29"/>
      <c r="W49" s="29"/>
      <c r="X49" s="29"/>
      <c r="Y49" s="29"/>
      <c r="Z49" s="29"/>
      <c r="AA49" s="29"/>
    </row>
    <row r="50" ht="129.75" customHeight="1">
      <c r="A50" s="32"/>
      <c r="B50" s="32" t="s">
        <v>235</v>
      </c>
      <c r="C50" s="32" t="s">
        <v>236</v>
      </c>
      <c r="D50" s="29"/>
      <c r="E50" s="32" t="s">
        <v>237</v>
      </c>
      <c r="F50" s="33">
        <f t="shared" ref="F50:H50" si="9">F41/F47</f>
        <v>0.02755858329</v>
      </c>
      <c r="G50" s="33">
        <f t="shared" si="9"/>
        <v>0.01104779583</v>
      </c>
      <c r="H50" s="33">
        <f t="shared" si="9"/>
        <v>0.006241997341</v>
      </c>
      <c r="I50" s="33"/>
      <c r="J50" s="33"/>
      <c r="K50" s="29"/>
      <c r="L50" s="29"/>
      <c r="M50" s="29"/>
      <c r="N50" s="29"/>
      <c r="O50" s="29"/>
      <c r="P50" s="29"/>
      <c r="Q50" s="29"/>
      <c r="R50" s="29"/>
      <c r="S50" s="29"/>
      <c r="T50" s="29"/>
      <c r="U50" s="29"/>
      <c r="V50" s="29"/>
      <c r="W50" s="29"/>
      <c r="X50" s="29"/>
      <c r="Y50" s="29"/>
      <c r="Z50" s="29"/>
      <c r="AA50" s="29"/>
    </row>
    <row r="51" ht="129.75" customHeight="1">
      <c r="A51" s="32"/>
      <c r="B51" s="32" t="s">
        <v>238</v>
      </c>
      <c r="C51" s="32" t="s">
        <v>239</v>
      </c>
      <c r="D51" s="29"/>
      <c r="E51" s="32" t="s">
        <v>240</v>
      </c>
      <c r="F51" s="51">
        <f t="shared" ref="F51:H51" si="10">F47/F52</f>
        <v>6.16857886</v>
      </c>
      <c r="G51" s="51">
        <f t="shared" si="10"/>
        <v>11.70690979</v>
      </c>
      <c r="H51" s="51">
        <f t="shared" si="10"/>
        <v>20.14327408</v>
      </c>
      <c r="I51" s="29"/>
      <c r="J51" s="29"/>
      <c r="K51" s="29"/>
      <c r="L51" s="29"/>
      <c r="M51" s="29"/>
      <c r="N51" s="29"/>
      <c r="O51" s="29"/>
      <c r="P51" s="29"/>
      <c r="Q51" s="29"/>
      <c r="R51" s="29"/>
      <c r="S51" s="29"/>
      <c r="T51" s="29"/>
      <c r="U51" s="29"/>
      <c r="V51" s="29"/>
      <c r="W51" s="29"/>
      <c r="X51" s="29"/>
      <c r="Y51" s="29"/>
      <c r="Z51" s="29"/>
      <c r="AA51" s="29"/>
    </row>
    <row r="52" ht="129.75" customHeight="1">
      <c r="A52" s="36"/>
      <c r="B52" s="36"/>
      <c r="C52" s="37"/>
      <c r="D52" s="38" t="s">
        <v>241</v>
      </c>
      <c r="E52" s="36"/>
      <c r="F52" s="38">
        <f>('standalone- balance sheet'!B9*10000000)/F42</f>
        <v>163.0926706</v>
      </c>
      <c r="G52" s="38">
        <f>('standalone- balance sheet'!C9*10000000)/G42</f>
        <v>136.6141901</v>
      </c>
      <c r="H52" s="38">
        <f>('standalone- balance sheet'!D9*10000000)/H42</f>
        <v>118.4574062</v>
      </c>
      <c r="I52" s="36"/>
      <c r="J52" s="36"/>
      <c r="K52" s="36"/>
      <c r="L52" s="36"/>
      <c r="M52" s="36"/>
      <c r="N52" s="36"/>
      <c r="O52" s="36"/>
      <c r="P52" s="36"/>
      <c r="Q52" s="36"/>
      <c r="R52" s="36"/>
      <c r="S52" s="36"/>
      <c r="T52" s="36"/>
      <c r="U52" s="36"/>
      <c r="V52" s="36"/>
      <c r="W52" s="36"/>
      <c r="X52" s="36"/>
      <c r="Y52" s="36"/>
      <c r="Z52" s="36"/>
      <c r="AA52" s="36"/>
    </row>
    <row r="53" ht="129.75" customHeight="1">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c r="AA53" s="29"/>
    </row>
    <row r="54" ht="129.75" customHeight="1">
      <c r="A54" s="29"/>
      <c r="B54" s="32" t="s">
        <v>242</v>
      </c>
      <c r="C54" s="32" t="s">
        <v>243</v>
      </c>
      <c r="D54" s="29"/>
      <c r="E54" s="29"/>
      <c r="F54" s="29"/>
      <c r="G54" s="29"/>
      <c r="H54" s="29"/>
      <c r="I54" s="29"/>
      <c r="J54" s="29"/>
      <c r="K54" s="29"/>
      <c r="L54" s="29"/>
      <c r="M54" s="29"/>
      <c r="N54" s="29"/>
      <c r="O54" s="29"/>
      <c r="P54" s="29"/>
      <c r="Q54" s="29"/>
      <c r="R54" s="29"/>
      <c r="S54" s="29"/>
      <c r="T54" s="29"/>
      <c r="U54" s="29"/>
      <c r="V54" s="29"/>
      <c r="W54" s="29"/>
      <c r="X54" s="29"/>
      <c r="Y54" s="29"/>
      <c r="Z54" s="29"/>
      <c r="AA54" s="29"/>
    </row>
    <row r="55" ht="129.75" customHeight="1">
      <c r="A55" s="29"/>
      <c r="B55" s="36"/>
      <c r="C55" s="32" t="s">
        <v>244</v>
      </c>
      <c r="D55" s="29"/>
      <c r="E55" s="29"/>
      <c r="F55" s="29"/>
      <c r="G55" s="29"/>
      <c r="H55" s="29"/>
      <c r="I55" s="29"/>
      <c r="J55" s="29"/>
      <c r="K55" s="29"/>
      <c r="L55" s="29"/>
      <c r="M55" s="29"/>
      <c r="N55" s="29"/>
      <c r="O55" s="29"/>
      <c r="P55" s="29"/>
      <c r="Q55" s="29"/>
      <c r="R55" s="29"/>
      <c r="S55" s="29"/>
      <c r="T55" s="29"/>
      <c r="U55" s="29"/>
      <c r="V55" s="29"/>
      <c r="W55" s="29"/>
      <c r="X55" s="29"/>
      <c r="Y55" s="29"/>
      <c r="Z55" s="29"/>
      <c r="AA55" s="29"/>
    </row>
    <row r="56" ht="129.75" customHeight="1">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c r="AA56" s="29"/>
    </row>
    <row r="57" ht="129.75" customHeight="1">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c r="AA57" s="29"/>
    </row>
    <row r="58" ht="129.75" customHeight="1">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c r="AA58" s="29"/>
    </row>
    <row r="59" ht="129.75" customHeight="1">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c r="AA59" s="29"/>
    </row>
    <row r="60" ht="129.75" customHeight="1">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c r="AA60" s="29"/>
    </row>
    <row r="61" ht="129.75"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row>
    <row r="62" ht="129.75"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row>
    <row r="63" ht="129.75" customHeight="1">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row>
    <row r="64" ht="129.75"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c r="AA64" s="29"/>
    </row>
    <row r="65" ht="129.75" customHeight="1">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c r="AA65" s="29"/>
    </row>
    <row r="66" ht="129.75" customHeight="1">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c r="AA66" s="29"/>
    </row>
    <row r="67" ht="129.75" customHeight="1">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c r="AA67" s="29"/>
    </row>
    <row r="68" ht="129.75" customHeight="1">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c r="AA68" s="29"/>
    </row>
    <row r="69" ht="129.75" customHeight="1">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c r="AA69" s="29"/>
    </row>
    <row r="70" ht="129.75" customHeight="1">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c r="AA70" s="29"/>
    </row>
    <row r="71" ht="129.75"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row>
    <row r="72" ht="129.75"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row>
    <row r="73" ht="129.75"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row>
    <row r="74" ht="129.7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row>
    <row r="75" ht="129.7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row>
    <row r="76" ht="129.7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row>
    <row r="77" ht="129.7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row>
    <row r="78" ht="129.7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c r="AA78" s="29"/>
    </row>
    <row r="79" ht="129.7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c r="AA79" s="29"/>
    </row>
    <row r="80" ht="129.7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c r="AA80" s="29"/>
    </row>
    <row r="81" ht="129.7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c r="AA81" s="29"/>
    </row>
    <row r="82" ht="129.7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c r="AA82" s="29"/>
    </row>
    <row r="83" ht="129.7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c r="AA83" s="29"/>
    </row>
    <row r="84" ht="129.7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c r="AA84" s="29"/>
    </row>
    <row r="85" ht="129.7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c r="AA85" s="29"/>
    </row>
    <row r="86" ht="129.7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c r="AA86" s="29"/>
    </row>
    <row r="87" ht="129.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c r="AA87" s="29"/>
    </row>
    <row r="88" ht="129.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c r="AA88" s="29"/>
    </row>
    <row r="89" ht="129.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c r="AA89" s="29"/>
    </row>
    <row r="90" ht="129.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c r="AA90" s="29"/>
    </row>
    <row r="91" ht="129.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c r="AA91" s="29"/>
    </row>
    <row r="92" ht="129.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c r="AA92" s="29"/>
    </row>
    <row r="93" ht="129.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c r="AA93" s="29"/>
    </row>
    <row r="94" ht="129.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c r="AA94" s="29"/>
    </row>
    <row r="95" ht="129.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c r="AA95" s="29"/>
    </row>
    <row r="96" ht="129.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c r="AA96" s="29"/>
    </row>
    <row r="97" ht="129.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c r="AA97" s="29"/>
    </row>
    <row r="98" ht="129.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row>
    <row r="99" ht="129.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c r="AA99" s="29"/>
    </row>
    <row r="100" ht="129.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row>
    <row r="101" ht="129.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row>
    <row r="102" ht="129.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row>
    <row r="103" ht="129.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row>
    <row r="104" ht="129.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row>
    <row r="105" ht="129.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row>
    <row r="106" ht="129.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row>
    <row r="107" ht="129.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row>
    <row r="108" ht="129.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row>
    <row r="109" ht="129.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row>
    <row r="110" ht="129.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row>
    <row r="111" ht="129.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row>
    <row r="112" ht="129.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row>
    <row r="113" ht="129.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row>
    <row r="114" ht="129.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row>
    <row r="115" ht="129.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row>
    <row r="116" ht="129.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row>
    <row r="117" ht="129.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row>
    <row r="118" ht="129.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row>
    <row r="119" ht="129.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row>
    <row r="120" ht="129.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row>
    <row r="121" ht="129.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row>
    <row r="122" ht="129.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row>
    <row r="123" ht="129.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row>
    <row r="124" ht="129.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row>
    <row r="125" ht="129.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row>
    <row r="126" ht="129.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row>
    <row r="127" ht="129.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row>
    <row r="128" ht="129.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row>
    <row r="129" ht="129.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row>
    <row r="130" ht="129.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row>
    <row r="131" ht="129.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row>
    <row r="132" ht="129.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row>
    <row r="133" ht="129.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row>
    <row r="134" ht="129.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row>
    <row r="135" ht="129.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row>
    <row r="136" ht="129.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row>
    <row r="137" ht="129.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row>
    <row r="138" ht="129.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row>
    <row r="139" ht="129.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row>
    <row r="140" ht="129.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row>
    <row r="141" ht="129.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row>
    <row r="142" ht="129.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row>
    <row r="143" ht="129.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row>
    <row r="144" ht="129.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row>
    <row r="145" ht="129.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row>
    <row r="146" ht="129.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row>
    <row r="147" ht="129.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row>
    <row r="148" ht="129.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row>
    <row r="149" ht="129.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row>
    <row r="150" ht="129.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row>
    <row r="151" ht="129.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row>
    <row r="152" ht="129.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row>
    <row r="153" ht="129.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row>
    <row r="154" ht="129.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row>
    <row r="155" ht="129.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row>
    <row r="156" ht="129.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row>
    <row r="157" ht="129.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row>
    <row r="158" ht="129.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row>
    <row r="159" ht="129.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row>
    <row r="160" ht="129.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row>
    <row r="161" ht="129.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row>
    <row r="162" ht="129.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row>
    <row r="163" ht="129.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row>
    <row r="164" ht="129.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row>
    <row r="165" ht="129.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row>
    <row r="166" ht="129.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row>
    <row r="167" ht="129.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row>
    <row r="168" ht="129.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row>
    <row r="169" ht="129.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row>
    <row r="170" ht="129.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row>
    <row r="171" ht="129.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row>
    <row r="172" ht="129.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row>
    <row r="173" ht="129.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row>
    <row r="174" ht="129.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row>
    <row r="175" ht="129.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row>
    <row r="176" ht="129.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row>
    <row r="177" ht="129.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row>
    <row r="178" ht="129.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row>
    <row r="179" ht="129.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row>
    <row r="180" ht="129.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row>
    <row r="181" ht="129.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row>
    <row r="182" ht="129.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row>
    <row r="183" ht="129.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row>
    <row r="184" ht="129.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row>
    <row r="185" ht="129.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row>
    <row r="186" ht="129.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row>
    <row r="187" ht="129.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row>
    <row r="188" ht="129.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row>
    <row r="189" ht="129.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row>
    <row r="190" ht="129.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row>
    <row r="191" ht="129.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row>
    <row r="192" ht="129.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row>
    <row r="193" ht="129.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row>
    <row r="194" ht="129.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row>
    <row r="195" ht="129.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row>
    <row r="196" ht="129.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row>
    <row r="197" ht="129.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row>
    <row r="198" ht="129.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row>
    <row r="199" ht="129.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row>
    <row r="200" ht="129.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row>
    <row r="201" ht="129.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row>
    <row r="202" ht="129.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row>
    <row r="203" ht="129.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row>
    <row r="204" ht="129.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row>
    <row r="205" ht="129.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row>
    <row r="206" ht="129.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row>
    <row r="207" ht="129.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row>
    <row r="208" ht="129.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row>
    <row r="209" ht="129.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row>
    <row r="210" ht="129.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row>
    <row r="211" ht="129.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row>
    <row r="212" ht="129.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row>
    <row r="213" ht="129.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row>
    <row r="214" ht="129.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row>
    <row r="215" ht="129.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row>
    <row r="216" ht="129.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row>
    <row r="217" ht="129.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row>
    <row r="218" ht="129.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row>
    <row r="219" ht="129.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row>
    <row r="220" ht="129.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row>
    <row r="221" ht="129.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row>
    <row r="222" ht="129.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row>
    <row r="223" ht="129.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row>
    <row r="224" ht="129.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row>
    <row r="225" ht="129.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row>
    <row r="226" ht="129.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row>
    <row r="227" ht="129.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row>
    <row r="228" ht="129.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row>
    <row r="229" ht="129.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row>
    <row r="230" ht="129.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row>
    <row r="231" ht="129.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row>
    <row r="232" ht="129.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row>
    <row r="233" ht="129.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row>
    <row r="234" ht="129.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row>
    <row r="235" ht="129.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row>
    <row r="236" ht="129.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row>
    <row r="237" ht="129.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row>
    <row r="238" ht="129.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row>
    <row r="239" ht="129.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row>
    <row r="240" ht="129.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row>
    <row r="241" ht="129.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row>
    <row r="242" ht="129.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row>
    <row r="243" ht="129.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row>
    <row r="244" ht="129.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row>
    <row r="245" ht="129.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row>
    <row r="246" ht="129.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row>
    <row r="247" ht="129.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row>
    <row r="248" ht="129.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row>
    <row r="249" ht="129.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row>
    <row r="250" ht="129.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row>
    <row r="251" ht="129.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row>
    <row r="252" ht="129.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row>
    <row r="253" ht="129.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row>
    <row r="254" ht="129.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row>
    <row r="255" ht="129.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row>
    <row r="256" ht="129.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row>
    <row r="257" ht="129.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row>
    <row r="258" ht="129.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row>
    <row r="259" ht="129.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row>
    <row r="260" ht="129.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row>
    <row r="261" ht="129.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row>
    <row r="262" ht="129.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row>
    <row r="263" ht="129.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row>
    <row r="264" ht="129.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row>
    <row r="265" ht="129.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row>
    <row r="266" ht="129.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row>
    <row r="267" ht="129.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row>
    <row r="268" ht="129.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row>
    <row r="269" ht="129.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row>
    <row r="270" ht="129.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row>
    <row r="271" ht="129.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row>
    <row r="272" ht="129.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row>
    <row r="273" ht="129.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row>
    <row r="274" ht="129.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row>
    <row r="275" ht="129.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row>
    <row r="276" ht="129.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row>
    <row r="277" ht="129.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row>
    <row r="278" ht="129.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row>
    <row r="279" ht="129.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row>
    <row r="280" ht="129.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row>
    <row r="281" ht="129.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row>
    <row r="282" ht="129.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row>
    <row r="283" ht="129.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row>
    <row r="284" ht="129.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row>
    <row r="285" ht="129.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row>
    <row r="286" ht="129.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row>
    <row r="287" ht="129.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row>
    <row r="288" ht="129.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row>
    <row r="289" ht="129.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row>
    <row r="290" ht="129.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row>
    <row r="291" ht="129.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row>
    <row r="292" ht="129.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row>
    <row r="293" ht="129.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row>
    <row r="294" ht="129.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row>
    <row r="295" ht="129.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row>
    <row r="296" ht="129.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row>
    <row r="297" ht="129.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row>
    <row r="298" ht="129.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row>
    <row r="299" ht="129.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row>
    <row r="300" ht="129.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row>
    <row r="301" ht="129.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row>
    <row r="302" ht="129.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row>
    <row r="303" ht="129.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row>
    <row r="304" ht="129.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row>
    <row r="305" ht="129.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row>
    <row r="306" ht="129.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row>
    <row r="307" ht="129.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row>
    <row r="308" ht="129.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row>
    <row r="309" ht="129.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row>
    <row r="310" ht="129.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row>
    <row r="311" ht="129.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row>
    <row r="312" ht="129.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row>
    <row r="313" ht="129.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row>
    <row r="314" ht="129.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row>
    <row r="315" ht="129.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row>
    <row r="316" ht="129.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row>
    <row r="317" ht="129.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row>
    <row r="318" ht="129.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row>
    <row r="319" ht="129.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row>
    <row r="320" ht="129.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row>
    <row r="321" ht="129.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row>
    <row r="322" ht="129.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row>
    <row r="323" ht="129.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row>
    <row r="324" ht="129.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row>
    <row r="325" ht="129.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row>
    <row r="326" ht="129.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row>
    <row r="327" ht="129.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row>
    <row r="328" ht="129.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row>
    <row r="329" ht="129.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row>
    <row r="330" ht="129.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row>
    <row r="331" ht="129.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row>
    <row r="332" ht="129.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row>
    <row r="333" ht="129.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row>
    <row r="334" ht="129.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row>
    <row r="335" ht="129.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row>
    <row r="336" ht="129.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row>
    <row r="337" ht="129.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row>
    <row r="338" ht="129.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row>
    <row r="339" ht="129.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row>
    <row r="340" ht="129.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row>
    <row r="341" ht="129.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row>
    <row r="342" ht="129.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row>
    <row r="343" ht="129.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row>
    <row r="344" ht="129.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row>
    <row r="345" ht="129.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row>
    <row r="346" ht="129.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row>
    <row r="347" ht="129.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row>
    <row r="348" ht="129.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row>
    <row r="349" ht="129.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row>
    <row r="350" ht="129.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row>
    <row r="351" ht="129.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row>
    <row r="352" ht="129.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row>
    <row r="353" ht="129.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row>
    <row r="354" ht="129.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row>
    <row r="355" ht="129.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row>
    <row r="356" ht="129.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row>
    <row r="357" ht="129.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row>
    <row r="358" ht="129.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row>
    <row r="359" ht="129.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row>
    <row r="360" ht="129.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row>
    <row r="361" ht="129.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row>
    <row r="362" ht="129.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row>
    <row r="363" ht="129.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row>
    <row r="364" ht="129.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row>
    <row r="365" ht="129.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row>
    <row r="366" ht="129.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row>
    <row r="367" ht="129.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row>
    <row r="368" ht="129.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row>
    <row r="369" ht="129.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row>
    <row r="370" ht="129.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row>
    <row r="371" ht="129.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row>
    <row r="372" ht="129.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row>
    <row r="373" ht="129.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row>
    <row r="374" ht="129.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row>
    <row r="375" ht="129.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row>
    <row r="376" ht="129.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row>
    <row r="377" ht="129.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row>
    <row r="378" ht="129.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row>
    <row r="379" ht="129.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row>
    <row r="380" ht="129.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row>
    <row r="381" ht="129.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row>
    <row r="382" ht="129.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row>
    <row r="383" ht="129.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row>
    <row r="384" ht="129.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row>
    <row r="385" ht="129.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row>
    <row r="386" ht="129.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row>
    <row r="387" ht="129.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row>
    <row r="388" ht="129.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row>
    <row r="389" ht="129.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row>
    <row r="390" ht="129.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row>
    <row r="391" ht="129.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row>
    <row r="392" ht="129.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row>
    <row r="393" ht="129.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row>
    <row r="394" ht="129.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row>
    <row r="395" ht="129.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row>
    <row r="396" ht="129.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row>
    <row r="397" ht="129.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row>
    <row r="398" ht="129.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row>
    <row r="399" ht="129.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row>
    <row r="400" ht="129.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row>
    <row r="401" ht="129.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row>
    <row r="402" ht="129.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row>
    <row r="403" ht="129.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row>
    <row r="404" ht="129.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row>
    <row r="405" ht="129.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row>
    <row r="406" ht="129.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row>
    <row r="407" ht="129.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row>
    <row r="408" ht="129.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row>
    <row r="409" ht="129.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row>
    <row r="410" ht="129.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row>
    <row r="411" ht="129.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row>
    <row r="412" ht="129.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row>
    <row r="413" ht="129.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row>
    <row r="414" ht="129.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row>
    <row r="415" ht="129.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row>
    <row r="416" ht="129.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row>
    <row r="417" ht="129.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row>
    <row r="418" ht="129.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row>
    <row r="419" ht="129.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row>
    <row r="420" ht="129.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row>
    <row r="421" ht="129.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row>
    <row r="422" ht="129.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row>
    <row r="423" ht="129.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row>
    <row r="424" ht="129.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row>
    <row r="425" ht="129.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row>
    <row r="426" ht="129.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row>
    <row r="427" ht="129.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row>
    <row r="428" ht="129.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row>
    <row r="429" ht="129.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row>
    <row r="430" ht="129.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row>
    <row r="431" ht="129.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row>
    <row r="432" ht="129.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row>
    <row r="433" ht="129.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row>
    <row r="434" ht="129.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row>
    <row r="435" ht="129.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row>
    <row r="436" ht="129.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row>
    <row r="437" ht="129.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row>
    <row r="438" ht="129.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row>
    <row r="439" ht="129.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row>
    <row r="440" ht="129.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row>
    <row r="441" ht="129.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row>
    <row r="442" ht="129.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row>
    <row r="443" ht="129.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row>
    <row r="444" ht="129.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row>
    <row r="445" ht="129.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row>
    <row r="446" ht="129.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row>
    <row r="447" ht="129.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row>
    <row r="448" ht="129.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row>
    <row r="449" ht="129.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row>
    <row r="450" ht="129.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row>
    <row r="451" ht="129.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row>
    <row r="452" ht="129.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row>
    <row r="453" ht="129.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row>
    <row r="454" ht="129.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row>
    <row r="455" ht="129.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row>
    <row r="456" ht="129.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row>
    <row r="457" ht="129.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row>
    <row r="458" ht="129.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row>
    <row r="459" ht="129.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row>
    <row r="460" ht="129.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row>
    <row r="461" ht="129.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row>
    <row r="462" ht="129.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row>
    <row r="463" ht="129.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row>
    <row r="464" ht="129.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row>
    <row r="465" ht="129.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row>
    <row r="466" ht="129.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row>
    <row r="467" ht="129.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row>
    <row r="468" ht="129.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row>
    <row r="469" ht="129.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row>
    <row r="470" ht="129.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row>
    <row r="471" ht="129.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row>
    <row r="472" ht="129.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row>
    <row r="473" ht="129.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row>
    <row r="474" ht="129.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row>
    <row r="475" ht="129.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row>
    <row r="476" ht="129.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row>
    <row r="477" ht="129.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row>
    <row r="478" ht="129.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row>
    <row r="479" ht="129.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row>
    <row r="480" ht="129.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row>
    <row r="481" ht="129.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row>
    <row r="482" ht="129.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row>
    <row r="483" ht="129.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row>
    <row r="484" ht="129.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row>
    <row r="485" ht="129.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row>
    <row r="486" ht="129.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row>
    <row r="487" ht="129.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row>
    <row r="488" ht="129.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row>
    <row r="489" ht="129.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row>
    <row r="490" ht="129.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row>
    <row r="491" ht="129.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row>
    <row r="492" ht="129.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row>
    <row r="493" ht="129.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row>
    <row r="494" ht="129.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row>
    <row r="495" ht="129.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row>
    <row r="496" ht="129.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row>
    <row r="497" ht="129.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row>
    <row r="498" ht="129.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row>
    <row r="499" ht="129.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row>
    <row r="500" ht="129.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row>
    <row r="501" ht="129.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row>
    <row r="502" ht="129.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row>
    <row r="503" ht="129.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row>
    <row r="504" ht="129.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row>
    <row r="505" ht="129.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row>
    <row r="506" ht="129.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row>
    <row r="507" ht="129.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row>
    <row r="508" ht="129.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row>
    <row r="509" ht="129.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row>
    <row r="510" ht="129.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row>
    <row r="511" ht="129.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row>
    <row r="512" ht="129.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row>
    <row r="513" ht="129.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row>
    <row r="514" ht="129.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row>
    <row r="515" ht="129.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row>
    <row r="516" ht="129.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row>
    <row r="517" ht="129.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row>
    <row r="518" ht="129.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row>
    <row r="519" ht="129.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row>
    <row r="520" ht="129.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row>
    <row r="521" ht="129.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row>
    <row r="522" ht="129.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row>
    <row r="523" ht="129.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row>
    <row r="524" ht="129.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row>
    <row r="525" ht="129.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row>
    <row r="526" ht="129.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row>
    <row r="527" ht="129.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row>
    <row r="528" ht="129.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row>
    <row r="529" ht="129.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row>
    <row r="530" ht="129.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row>
    <row r="531" ht="129.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row>
    <row r="532" ht="129.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row>
    <row r="533" ht="129.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row>
    <row r="534" ht="129.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row>
    <row r="535" ht="129.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row>
    <row r="536" ht="129.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row>
    <row r="537" ht="129.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row>
    <row r="538" ht="129.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row>
    <row r="539" ht="129.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row>
    <row r="540" ht="129.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row>
    <row r="541" ht="129.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row>
    <row r="542" ht="129.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row>
    <row r="543" ht="129.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row>
    <row r="544" ht="129.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row>
    <row r="545" ht="129.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row>
    <row r="546" ht="129.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row>
    <row r="547" ht="129.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row>
    <row r="548" ht="129.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row>
    <row r="549" ht="129.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row>
    <row r="550" ht="129.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row>
    <row r="551" ht="129.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row>
    <row r="552" ht="129.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row>
    <row r="553" ht="129.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row>
    <row r="554" ht="129.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row>
    <row r="555" ht="129.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row>
    <row r="556" ht="129.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row>
    <row r="557" ht="129.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row>
    <row r="558" ht="129.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row>
    <row r="559" ht="129.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row>
    <row r="560" ht="129.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row>
    <row r="561" ht="129.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row>
    <row r="562" ht="129.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row>
    <row r="563" ht="129.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row>
    <row r="564" ht="129.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row>
    <row r="565" ht="129.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row>
    <row r="566" ht="129.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row>
    <row r="567" ht="129.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row>
    <row r="568" ht="129.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row>
    <row r="569" ht="129.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row>
    <row r="570" ht="129.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row>
    <row r="571" ht="129.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row>
    <row r="572" ht="129.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row>
    <row r="573" ht="129.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row>
    <row r="574" ht="129.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row>
    <row r="575" ht="129.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row>
    <row r="576" ht="129.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row>
    <row r="577" ht="129.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row>
    <row r="578" ht="129.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row>
    <row r="579" ht="129.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row>
    <row r="580" ht="129.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row>
    <row r="581" ht="129.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row>
    <row r="582" ht="129.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row>
    <row r="583" ht="129.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row>
    <row r="584" ht="129.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row>
    <row r="585" ht="129.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row>
    <row r="586" ht="129.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row>
    <row r="587" ht="129.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row>
    <row r="588" ht="129.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row>
    <row r="589" ht="129.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row>
    <row r="590" ht="129.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row>
    <row r="591" ht="129.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row>
    <row r="592" ht="129.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row>
    <row r="593" ht="129.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row>
    <row r="594" ht="129.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row>
    <row r="595" ht="129.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row>
    <row r="596" ht="129.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row>
    <row r="597" ht="129.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row>
    <row r="598" ht="129.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row>
    <row r="599" ht="129.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row>
    <row r="600" ht="129.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row>
    <row r="601" ht="129.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row>
    <row r="602" ht="129.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row>
    <row r="603" ht="129.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row>
    <row r="604" ht="129.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row>
    <row r="605" ht="129.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row>
    <row r="606" ht="129.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row>
    <row r="607" ht="129.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row>
    <row r="608" ht="129.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row>
    <row r="609" ht="129.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row>
    <row r="610" ht="129.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row>
    <row r="611" ht="129.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row>
    <row r="612" ht="129.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row>
    <row r="613" ht="129.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row>
    <row r="614" ht="129.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row>
    <row r="615" ht="129.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row>
    <row r="616" ht="129.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row>
    <row r="617" ht="129.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row>
    <row r="618" ht="129.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row>
    <row r="619" ht="129.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row>
    <row r="620" ht="129.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row>
    <row r="621" ht="129.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row>
    <row r="622" ht="129.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row>
    <row r="623" ht="129.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row>
    <row r="624" ht="129.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row>
    <row r="625" ht="129.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row>
    <row r="626" ht="129.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row>
    <row r="627" ht="129.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row>
    <row r="628" ht="129.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row>
    <row r="629" ht="129.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row>
    <row r="630" ht="129.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row>
    <row r="631" ht="129.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row>
    <row r="632" ht="129.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row>
    <row r="633" ht="129.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row>
    <row r="634" ht="129.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row>
    <row r="635" ht="129.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row>
    <row r="636" ht="129.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row>
    <row r="637" ht="129.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row>
    <row r="638" ht="129.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row>
    <row r="639" ht="129.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row>
    <row r="640" ht="129.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row>
    <row r="641" ht="129.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row>
    <row r="642" ht="129.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row>
    <row r="643" ht="129.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row>
    <row r="644" ht="129.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row>
    <row r="645" ht="129.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row>
    <row r="646" ht="129.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row>
    <row r="647" ht="129.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row>
    <row r="648" ht="129.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row>
    <row r="649" ht="129.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row>
    <row r="650" ht="129.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row>
    <row r="651" ht="129.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row>
    <row r="652" ht="129.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row>
    <row r="653" ht="129.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row>
    <row r="654" ht="129.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row>
    <row r="655" ht="129.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row>
    <row r="656" ht="129.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row>
    <row r="657" ht="129.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row>
    <row r="658" ht="129.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row>
    <row r="659" ht="129.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row>
    <row r="660" ht="129.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row>
    <row r="661" ht="129.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row>
    <row r="662" ht="129.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row>
    <row r="663" ht="129.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row>
    <row r="664" ht="129.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row>
    <row r="665" ht="129.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row>
    <row r="666" ht="129.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row>
    <row r="667" ht="129.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row>
    <row r="668" ht="129.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row>
    <row r="669" ht="129.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row>
    <row r="670" ht="129.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row>
    <row r="671" ht="129.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row>
    <row r="672" ht="129.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row>
    <row r="673" ht="129.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row>
    <row r="674" ht="129.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row>
    <row r="675" ht="129.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row>
    <row r="676" ht="129.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row>
    <row r="677" ht="129.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row>
    <row r="678" ht="129.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row>
    <row r="679" ht="129.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row>
    <row r="680" ht="129.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row>
    <row r="681" ht="129.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row>
    <row r="682" ht="129.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row>
    <row r="683" ht="129.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row>
    <row r="684" ht="129.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row>
    <row r="685" ht="129.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row>
    <row r="686" ht="129.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row>
    <row r="687" ht="129.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row>
    <row r="688" ht="129.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row>
    <row r="689" ht="129.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row>
    <row r="690" ht="129.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row>
    <row r="691" ht="129.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row>
    <row r="692" ht="129.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row>
    <row r="693" ht="129.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row>
    <row r="694" ht="129.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row>
    <row r="695" ht="129.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row>
    <row r="696" ht="129.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row>
    <row r="697" ht="129.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row>
    <row r="698" ht="129.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row>
    <row r="699" ht="129.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row>
    <row r="700" ht="129.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row>
    <row r="701" ht="129.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row>
    <row r="702" ht="129.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row>
    <row r="703" ht="129.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row>
    <row r="704" ht="129.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row>
    <row r="705" ht="129.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row>
    <row r="706" ht="129.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row>
    <row r="707" ht="129.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row>
    <row r="708" ht="129.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row>
    <row r="709" ht="129.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row>
    <row r="710" ht="129.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row>
    <row r="711" ht="129.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row>
    <row r="712" ht="129.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row>
    <row r="713" ht="129.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row>
    <row r="714" ht="129.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row>
    <row r="715" ht="129.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row>
    <row r="716" ht="129.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row>
    <row r="717" ht="129.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row>
    <row r="718" ht="129.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row>
    <row r="719" ht="129.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row>
    <row r="720" ht="129.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row>
    <row r="721" ht="129.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row>
    <row r="722" ht="129.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row>
    <row r="723" ht="129.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row>
    <row r="724" ht="129.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row>
    <row r="725" ht="129.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row>
    <row r="726" ht="129.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row>
    <row r="727" ht="129.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row>
    <row r="728" ht="129.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row>
    <row r="729" ht="129.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row>
    <row r="730" ht="129.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row>
    <row r="731" ht="129.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row>
    <row r="732" ht="129.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row>
    <row r="733" ht="129.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row>
    <row r="734" ht="129.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row>
    <row r="735" ht="129.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row>
    <row r="736" ht="129.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row>
    <row r="737" ht="129.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row>
    <row r="738" ht="129.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row>
    <row r="739" ht="129.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row>
    <row r="740" ht="129.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row>
    <row r="741" ht="129.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row>
    <row r="742" ht="129.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row>
    <row r="743" ht="129.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row>
    <row r="744" ht="129.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row>
    <row r="745" ht="129.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row>
    <row r="746" ht="129.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row>
    <row r="747" ht="129.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row>
    <row r="748" ht="129.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row>
    <row r="749" ht="129.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row>
    <row r="750" ht="129.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row>
    <row r="751" ht="129.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row>
    <row r="752" ht="129.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row>
    <row r="753" ht="129.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row>
    <row r="754" ht="129.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row>
    <row r="755" ht="129.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row>
    <row r="756" ht="129.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row>
    <row r="757" ht="129.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row>
    <row r="758" ht="129.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row>
    <row r="759" ht="129.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row>
    <row r="760" ht="129.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row>
    <row r="761" ht="129.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row>
    <row r="762" ht="129.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row>
    <row r="763" ht="129.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row>
    <row r="764" ht="129.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row>
    <row r="765" ht="129.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row>
    <row r="766" ht="129.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row>
    <row r="767" ht="129.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row>
    <row r="768" ht="129.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row>
    <row r="769" ht="129.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row>
    <row r="770" ht="129.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row>
    <row r="771" ht="129.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row>
    <row r="772" ht="129.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row>
    <row r="773" ht="129.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row>
    <row r="774" ht="129.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row>
    <row r="775" ht="129.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row>
    <row r="776" ht="129.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row>
    <row r="777" ht="129.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row>
    <row r="778" ht="129.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row>
    <row r="779" ht="129.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row>
    <row r="780" ht="129.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row>
    <row r="781" ht="129.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row>
    <row r="782" ht="129.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row>
    <row r="783" ht="129.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row>
    <row r="784" ht="129.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row>
    <row r="785" ht="129.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row>
    <row r="786" ht="129.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row>
    <row r="787" ht="129.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row>
    <row r="788" ht="129.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row>
    <row r="789" ht="129.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row>
    <row r="790" ht="129.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row>
    <row r="791" ht="129.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row>
    <row r="792" ht="129.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row>
    <row r="793" ht="129.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row>
    <row r="794" ht="129.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row>
    <row r="795" ht="129.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row>
    <row r="796" ht="129.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row>
    <row r="797" ht="129.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row>
    <row r="798" ht="129.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row>
    <row r="799" ht="129.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row>
    <row r="800" ht="129.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row>
    <row r="801" ht="129.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row>
    <row r="802" ht="129.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row>
    <row r="803" ht="129.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row>
    <row r="804" ht="129.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row>
    <row r="805" ht="129.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row>
    <row r="806" ht="129.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row>
    <row r="807" ht="129.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row>
    <row r="808" ht="129.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row>
    <row r="809" ht="129.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row>
    <row r="810" ht="129.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row>
    <row r="811" ht="129.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row>
    <row r="812" ht="129.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row>
    <row r="813" ht="129.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row>
    <row r="814" ht="129.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row>
    <row r="815" ht="129.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row>
    <row r="816" ht="129.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row>
    <row r="817" ht="129.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row>
    <row r="818" ht="129.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row>
    <row r="819" ht="129.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row>
    <row r="820" ht="129.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row>
    <row r="821" ht="129.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row>
    <row r="822" ht="129.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row>
    <row r="823" ht="129.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row>
    <row r="824" ht="129.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row>
    <row r="825" ht="129.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row>
    <row r="826" ht="129.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row>
    <row r="827" ht="129.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row>
    <row r="828" ht="129.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row>
    <row r="829" ht="129.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row>
    <row r="830" ht="129.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row>
    <row r="831" ht="129.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row>
    <row r="832" ht="129.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row>
    <row r="833" ht="129.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row>
    <row r="834" ht="129.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row>
    <row r="835" ht="129.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row>
    <row r="836" ht="129.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row>
    <row r="837" ht="129.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row>
    <row r="838" ht="129.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row>
    <row r="839" ht="129.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row>
    <row r="840" ht="129.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row>
    <row r="841" ht="129.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row>
    <row r="842" ht="129.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row>
    <row r="843" ht="129.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row>
    <row r="844" ht="129.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row>
    <row r="845" ht="129.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row>
    <row r="846" ht="129.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row>
    <row r="847" ht="129.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row>
    <row r="848" ht="129.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row>
    <row r="849" ht="129.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row>
    <row r="850" ht="129.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row>
    <row r="851" ht="129.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row>
    <row r="852" ht="129.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row>
    <row r="853" ht="129.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row>
    <row r="854" ht="129.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row>
    <row r="855" ht="129.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row>
    <row r="856" ht="129.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row>
    <row r="857" ht="129.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row>
    <row r="858" ht="129.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row>
    <row r="859" ht="129.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row>
    <row r="860" ht="129.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row>
    <row r="861" ht="129.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row>
    <row r="862" ht="129.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row>
    <row r="863" ht="129.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row>
    <row r="864" ht="129.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row>
    <row r="865" ht="129.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row>
    <row r="866" ht="129.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row>
    <row r="867" ht="129.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row>
    <row r="868" ht="129.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row>
    <row r="869" ht="129.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row>
    <row r="870" ht="129.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row>
    <row r="871" ht="129.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row>
    <row r="872" ht="129.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row>
    <row r="873" ht="129.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row>
    <row r="874" ht="129.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row>
    <row r="875" ht="129.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row>
    <row r="876" ht="129.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row>
    <row r="877" ht="129.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row>
    <row r="878" ht="129.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row>
    <row r="879" ht="129.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row>
    <row r="880" ht="129.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row>
    <row r="881" ht="129.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row>
    <row r="882" ht="129.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row>
    <row r="883" ht="129.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row>
    <row r="884" ht="129.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row>
    <row r="885" ht="129.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row>
    <row r="886" ht="129.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row>
    <row r="887" ht="129.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row>
    <row r="888" ht="129.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row>
    <row r="889" ht="129.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row>
    <row r="890" ht="129.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row>
    <row r="891" ht="129.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row>
    <row r="892" ht="129.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row>
    <row r="893" ht="129.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row>
    <row r="894" ht="129.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row>
    <row r="895" ht="129.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row>
    <row r="896" ht="129.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row>
    <row r="897" ht="129.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row>
    <row r="898" ht="129.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row>
    <row r="899" ht="129.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row>
    <row r="900" ht="129.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row>
    <row r="901" ht="129.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row>
    <row r="902" ht="129.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row>
    <row r="903" ht="129.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row>
    <row r="904" ht="129.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row>
    <row r="905" ht="129.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row>
    <row r="906" ht="129.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row>
    <row r="907" ht="129.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row>
    <row r="908" ht="129.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row>
    <row r="909" ht="129.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row>
    <row r="910" ht="129.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row>
    <row r="911" ht="129.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row>
    <row r="912" ht="129.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row>
    <row r="913" ht="129.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c r="AA913" s="29"/>
    </row>
    <row r="914" ht="129.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row>
    <row r="915" ht="129.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c r="AA915" s="29"/>
    </row>
    <row r="916" ht="129.7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c r="AA916" s="29"/>
    </row>
    <row r="917" ht="129.7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c r="AA917" s="29"/>
    </row>
    <row r="918" ht="129.7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c r="AA918" s="29"/>
    </row>
    <row r="919" ht="129.7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c r="AA919" s="29"/>
    </row>
    <row r="920" ht="129.7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c r="AA920" s="29"/>
    </row>
    <row r="921" ht="129.7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c r="AA921" s="29"/>
    </row>
    <row r="922" ht="129.7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c r="AA922" s="29"/>
    </row>
    <row r="923" ht="129.7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c r="AA923" s="29"/>
    </row>
    <row r="924" ht="129.7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c r="AA924" s="29"/>
    </row>
    <row r="925" ht="129.7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c r="AA925" s="29"/>
    </row>
    <row r="926" ht="129.7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c r="AA926" s="29"/>
    </row>
    <row r="927" ht="129.7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c r="AA927" s="29"/>
    </row>
    <row r="928" ht="129.7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c r="AA928" s="29"/>
    </row>
    <row r="929" ht="129.7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c r="AA929" s="29"/>
    </row>
    <row r="930" ht="129.7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c r="AA930" s="29"/>
    </row>
    <row r="931" ht="129.7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c r="AA931" s="29"/>
    </row>
    <row r="932" ht="129.7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c r="AA932" s="29"/>
    </row>
    <row r="933" ht="129.7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c r="AA933" s="29"/>
    </row>
    <row r="934" ht="129.7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c r="AA934" s="29"/>
    </row>
    <row r="935" ht="129.7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c r="AA935" s="29"/>
    </row>
    <row r="936" ht="129.7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c r="AA936" s="29"/>
    </row>
    <row r="937" ht="129.7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c r="AA937" s="29"/>
    </row>
    <row r="938" ht="129.7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c r="AA938" s="29"/>
    </row>
    <row r="939" ht="129.7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c r="AA939" s="29"/>
    </row>
    <row r="940" ht="129.7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c r="AA940" s="29"/>
    </row>
    <row r="941" ht="129.7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c r="AA941" s="29"/>
    </row>
    <row r="942" ht="129.7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c r="AA942" s="29"/>
    </row>
    <row r="943" ht="129.7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c r="AA943" s="29"/>
    </row>
    <row r="944" ht="129.7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row>
    <row r="945" ht="129.7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c r="AA945" s="29"/>
    </row>
    <row r="946" ht="129.7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c r="AA946" s="29"/>
    </row>
    <row r="947" ht="129.7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c r="AA947" s="29"/>
    </row>
    <row r="948" ht="129.7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c r="AA948" s="29"/>
    </row>
    <row r="949" ht="129.7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c r="AA949" s="29"/>
    </row>
    <row r="950" ht="129.7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c r="AA950" s="29"/>
    </row>
    <row r="951" ht="129.7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c r="AA951" s="29"/>
    </row>
    <row r="952" ht="129.7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c r="AA952" s="29"/>
    </row>
    <row r="953" ht="129.7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c r="AA953" s="29"/>
    </row>
    <row r="954" ht="129.7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c r="AA954" s="29"/>
    </row>
    <row r="955" ht="129.7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c r="AA955" s="29"/>
    </row>
    <row r="956" ht="129.7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c r="AA956" s="29"/>
    </row>
    <row r="957" ht="129.7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c r="AA957" s="29"/>
    </row>
    <row r="958" ht="129.7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c r="AA958" s="29"/>
    </row>
    <row r="959" ht="129.7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c r="AA959" s="29"/>
    </row>
    <row r="960" ht="129.7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c r="AA960" s="29"/>
    </row>
    <row r="961" ht="129.7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c r="AA961" s="29"/>
    </row>
    <row r="962" ht="129.7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c r="AA962" s="29"/>
    </row>
    <row r="963" ht="129.7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c r="AA963" s="29"/>
    </row>
    <row r="964" ht="129.7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c r="AA964" s="29"/>
    </row>
    <row r="965" ht="129.7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c r="AA965" s="29"/>
    </row>
    <row r="966" ht="129.7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c r="AA966" s="29"/>
    </row>
    <row r="967" ht="129.7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c r="AA967" s="29"/>
    </row>
    <row r="968" ht="129.7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c r="AA968" s="29"/>
    </row>
    <row r="969" ht="129.7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c r="AA969" s="29"/>
    </row>
    <row r="970" ht="129.7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c r="AA970" s="29"/>
    </row>
    <row r="971" ht="129.7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c r="AA971" s="29"/>
    </row>
  </sheetData>
  <mergeCells count="8">
    <mergeCell ref="B2:D2"/>
    <mergeCell ref="F2:J2"/>
    <mergeCell ref="B3:E3"/>
    <mergeCell ref="B8:E8"/>
    <mergeCell ref="B15:E15"/>
    <mergeCell ref="B18:E18"/>
    <mergeCell ref="B28:E28"/>
    <mergeCell ref="B46:E4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8"/>
    <col customWidth="1" min="2" max="3" width="0.38"/>
  </cols>
  <sheetData>
    <row r="1">
      <c r="A1" s="52" t="s">
        <v>245</v>
      </c>
      <c r="B1" s="21"/>
      <c r="C1" s="22"/>
      <c r="D1" s="53"/>
      <c r="E1" s="53"/>
      <c r="F1" s="54"/>
      <c r="G1" s="54"/>
      <c r="H1" s="54"/>
      <c r="I1" s="54"/>
      <c r="J1" s="54"/>
      <c r="K1" s="54"/>
      <c r="L1" s="54"/>
      <c r="M1" s="54"/>
      <c r="N1" s="54"/>
      <c r="O1" s="54"/>
      <c r="P1" s="54"/>
      <c r="Q1" s="54"/>
      <c r="R1" s="54"/>
      <c r="S1" s="54"/>
      <c r="T1" s="54"/>
      <c r="U1" s="54"/>
      <c r="V1" s="54"/>
      <c r="W1" s="54"/>
      <c r="X1" s="54"/>
      <c r="Y1" s="54"/>
      <c r="Z1" s="54"/>
    </row>
    <row r="2">
      <c r="D2" s="53"/>
      <c r="E2" s="53"/>
      <c r="F2" s="54"/>
      <c r="G2" s="54"/>
      <c r="H2" s="54"/>
      <c r="I2" s="54"/>
      <c r="J2" s="54"/>
      <c r="K2" s="54"/>
      <c r="L2" s="54"/>
      <c r="M2" s="54"/>
      <c r="N2" s="54"/>
      <c r="O2" s="54"/>
      <c r="P2" s="54"/>
      <c r="Q2" s="54"/>
      <c r="R2" s="54"/>
      <c r="S2" s="54"/>
      <c r="T2" s="54"/>
      <c r="U2" s="54"/>
      <c r="V2" s="54"/>
      <c r="W2" s="54"/>
      <c r="X2" s="54"/>
      <c r="Y2" s="54"/>
      <c r="Z2" s="54"/>
    </row>
    <row r="3">
      <c r="A3" s="55" t="s">
        <v>246</v>
      </c>
      <c r="B3" s="53"/>
      <c r="C3" s="53"/>
      <c r="D3" s="56"/>
      <c r="E3" s="53"/>
      <c r="F3" s="54"/>
      <c r="G3" s="54"/>
      <c r="H3" s="54"/>
      <c r="I3" s="54"/>
      <c r="J3" s="54"/>
      <c r="K3" s="54"/>
      <c r="L3" s="54"/>
      <c r="M3" s="54"/>
      <c r="N3" s="54"/>
      <c r="O3" s="54"/>
      <c r="P3" s="54"/>
      <c r="Q3" s="54"/>
      <c r="R3" s="54"/>
      <c r="S3" s="54"/>
      <c r="T3" s="54"/>
      <c r="U3" s="54"/>
      <c r="V3" s="54"/>
      <c r="W3" s="54"/>
      <c r="X3" s="54"/>
      <c r="Y3" s="54"/>
      <c r="Z3" s="54"/>
    </row>
    <row r="4">
      <c r="A4" s="53"/>
      <c r="B4" s="53"/>
      <c r="C4" s="53"/>
      <c r="D4" s="53"/>
      <c r="E4" s="53"/>
      <c r="F4" s="54"/>
      <c r="G4" s="54"/>
      <c r="H4" s="54"/>
      <c r="I4" s="54"/>
      <c r="J4" s="54"/>
      <c r="K4" s="54"/>
      <c r="L4" s="54"/>
      <c r="M4" s="54"/>
      <c r="N4" s="54"/>
      <c r="O4" s="54"/>
      <c r="P4" s="54"/>
      <c r="Q4" s="54"/>
      <c r="R4" s="54"/>
      <c r="S4" s="54"/>
      <c r="T4" s="54"/>
      <c r="U4" s="54"/>
      <c r="V4" s="54"/>
      <c r="W4" s="54"/>
      <c r="X4" s="54"/>
      <c r="Y4" s="54"/>
      <c r="Z4" s="54"/>
    </row>
    <row r="5">
      <c r="A5" s="53"/>
      <c r="B5" s="53"/>
      <c r="C5" s="53"/>
      <c r="D5" s="53"/>
      <c r="E5" s="53"/>
      <c r="F5" s="54"/>
      <c r="G5" s="54"/>
      <c r="H5" s="54"/>
      <c r="I5" s="54"/>
      <c r="J5" s="54"/>
      <c r="K5" s="54"/>
      <c r="L5" s="54"/>
      <c r="M5" s="54"/>
      <c r="N5" s="54"/>
      <c r="O5" s="54"/>
      <c r="P5" s="54"/>
      <c r="Q5" s="54"/>
      <c r="R5" s="54"/>
      <c r="S5" s="54"/>
      <c r="T5" s="54"/>
      <c r="U5" s="54"/>
      <c r="V5" s="54"/>
      <c r="W5" s="54"/>
      <c r="X5" s="54"/>
      <c r="Y5" s="54"/>
      <c r="Z5" s="54"/>
    </row>
    <row r="6">
      <c r="A6" s="53"/>
      <c r="B6" s="53"/>
      <c r="C6" s="53"/>
      <c r="D6" s="53"/>
      <c r="E6" s="53"/>
      <c r="F6" s="54"/>
      <c r="G6" s="54"/>
      <c r="H6" s="54"/>
      <c r="I6" s="54"/>
      <c r="J6" s="54"/>
      <c r="K6" s="54"/>
      <c r="L6" s="54"/>
      <c r="M6" s="54"/>
      <c r="N6" s="54"/>
      <c r="O6" s="54"/>
      <c r="P6" s="54"/>
      <c r="Q6" s="54"/>
      <c r="R6" s="54"/>
      <c r="S6" s="54"/>
      <c r="T6" s="54"/>
      <c r="U6" s="54"/>
      <c r="V6" s="54"/>
      <c r="W6" s="54"/>
      <c r="X6" s="54"/>
      <c r="Y6" s="54"/>
      <c r="Z6" s="54"/>
    </row>
    <row r="7">
      <c r="A7" s="53"/>
      <c r="B7" s="53"/>
      <c r="C7" s="53"/>
      <c r="D7" s="53"/>
      <c r="E7" s="53"/>
      <c r="F7" s="54"/>
      <c r="G7" s="54"/>
      <c r="H7" s="54"/>
      <c r="I7" s="54"/>
      <c r="J7" s="54"/>
      <c r="K7" s="54"/>
      <c r="L7" s="54"/>
      <c r="M7" s="54"/>
      <c r="N7" s="54"/>
      <c r="O7" s="54"/>
      <c r="P7" s="54"/>
      <c r="Q7" s="54"/>
      <c r="R7" s="54"/>
      <c r="S7" s="54"/>
      <c r="T7" s="54"/>
      <c r="U7" s="54"/>
      <c r="V7" s="54"/>
      <c r="W7" s="54"/>
      <c r="X7" s="54"/>
      <c r="Y7" s="54"/>
      <c r="Z7" s="54"/>
    </row>
    <row r="8">
      <c r="A8" s="53"/>
      <c r="B8" s="53"/>
      <c r="C8" s="53"/>
      <c r="D8" s="53"/>
      <c r="E8" s="53"/>
      <c r="F8" s="54"/>
      <c r="G8" s="54"/>
      <c r="H8" s="54"/>
      <c r="I8" s="54"/>
      <c r="J8" s="54"/>
      <c r="K8" s="54"/>
      <c r="L8" s="54"/>
      <c r="M8" s="54"/>
      <c r="N8" s="54"/>
      <c r="O8" s="54"/>
      <c r="P8" s="54"/>
      <c r="Q8" s="54"/>
      <c r="R8" s="54"/>
      <c r="S8" s="54"/>
      <c r="T8" s="54"/>
      <c r="U8" s="54"/>
      <c r="V8" s="54"/>
      <c r="W8" s="54"/>
      <c r="X8" s="54"/>
      <c r="Y8" s="54"/>
      <c r="Z8" s="54"/>
    </row>
    <row r="9">
      <c r="A9" s="53"/>
      <c r="B9" s="53"/>
      <c r="C9" s="53"/>
      <c r="D9" s="53"/>
      <c r="E9" s="53"/>
      <c r="F9" s="54"/>
      <c r="G9" s="54"/>
      <c r="H9" s="54"/>
      <c r="I9" s="54"/>
      <c r="J9" s="54"/>
      <c r="K9" s="54"/>
      <c r="L9" s="54"/>
      <c r="M9" s="54"/>
      <c r="N9" s="54"/>
      <c r="O9" s="54"/>
      <c r="P9" s="54"/>
      <c r="Q9" s="54"/>
      <c r="R9" s="54"/>
      <c r="S9" s="54"/>
      <c r="T9" s="54"/>
      <c r="U9" s="54"/>
      <c r="V9" s="54"/>
      <c r="W9" s="54"/>
      <c r="X9" s="54"/>
      <c r="Y9" s="54"/>
      <c r="Z9" s="54"/>
    </row>
    <row r="10">
      <c r="A10" s="53"/>
      <c r="B10" s="53"/>
      <c r="C10" s="53"/>
      <c r="D10" s="53"/>
      <c r="E10" s="53"/>
      <c r="F10" s="54"/>
      <c r="G10" s="54"/>
      <c r="H10" s="54"/>
      <c r="I10" s="54"/>
      <c r="J10" s="54"/>
      <c r="K10" s="54"/>
      <c r="L10" s="54"/>
      <c r="M10" s="54"/>
      <c r="N10" s="54"/>
      <c r="O10" s="54"/>
      <c r="P10" s="54"/>
      <c r="Q10" s="54"/>
      <c r="R10" s="54"/>
      <c r="S10" s="54"/>
      <c r="T10" s="54"/>
      <c r="U10" s="54"/>
      <c r="V10" s="54"/>
      <c r="W10" s="54"/>
      <c r="X10" s="54"/>
      <c r="Y10" s="54"/>
      <c r="Z10" s="54"/>
    </row>
    <row r="11">
      <c r="A11" s="54"/>
      <c r="B11" s="54"/>
      <c r="C11" s="54"/>
      <c r="D11" s="54"/>
      <c r="E11" s="54"/>
      <c r="F11" s="54"/>
      <c r="G11" s="54"/>
      <c r="H11" s="54"/>
      <c r="I11" s="54"/>
      <c r="J11" s="54"/>
      <c r="K11" s="54"/>
      <c r="L11" s="54"/>
      <c r="M11" s="54"/>
      <c r="N11" s="54"/>
      <c r="O11" s="54"/>
      <c r="P11" s="54"/>
      <c r="Q11" s="54"/>
      <c r="R11" s="54"/>
      <c r="S11" s="54"/>
      <c r="T11" s="54"/>
      <c r="U11" s="54"/>
      <c r="V11" s="54"/>
      <c r="W11" s="54"/>
      <c r="X11" s="54"/>
      <c r="Y11" s="54"/>
      <c r="Z11" s="54"/>
    </row>
    <row r="12">
      <c r="A12" s="54"/>
      <c r="B12" s="54"/>
      <c r="C12" s="54"/>
      <c r="D12" s="54"/>
      <c r="E12" s="54"/>
      <c r="F12" s="54"/>
      <c r="G12" s="54"/>
      <c r="H12" s="54"/>
      <c r="I12" s="54"/>
      <c r="J12" s="54"/>
      <c r="K12" s="54"/>
      <c r="L12" s="54"/>
      <c r="M12" s="54"/>
      <c r="N12" s="54"/>
      <c r="O12" s="54"/>
      <c r="P12" s="54"/>
      <c r="Q12" s="54"/>
      <c r="R12" s="54"/>
      <c r="S12" s="54"/>
      <c r="T12" s="54"/>
      <c r="U12" s="54"/>
      <c r="V12" s="54"/>
      <c r="W12" s="54"/>
      <c r="X12" s="54"/>
      <c r="Y12" s="54"/>
      <c r="Z12" s="54"/>
    </row>
    <row r="13">
      <c r="A13" s="54"/>
      <c r="B13" s="54"/>
      <c r="C13" s="54"/>
      <c r="D13" s="54"/>
      <c r="E13" s="54"/>
      <c r="F13" s="54"/>
      <c r="G13" s="54"/>
      <c r="H13" s="54"/>
      <c r="I13" s="54"/>
      <c r="J13" s="54"/>
      <c r="K13" s="54"/>
      <c r="L13" s="54"/>
      <c r="M13" s="54"/>
      <c r="N13" s="54"/>
      <c r="O13" s="54"/>
      <c r="P13" s="54"/>
      <c r="Q13" s="54"/>
      <c r="R13" s="54"/>
      <c r="S13" s="54"/>
      <c r="T13" s="54"/>
      <c r="U13" s="54"/>
      <c r="V13" s="54"/>
      <c r="W13" s="54"/>
      <c r="X13" s="54"/>
      <c r="Y13" s="54"/>
      <c r="Z13" s="54"/>
    </row>
    <row r="14">
      <c r="A14" s="54"/>
      <c r="B14" s="54"/>
      <c r="C14" s="54"/>
      <c r="D14" s="54"/>
      <c r="E14" s="54"/>
      <c r="F14" s="54"/>
      <c r="G14" s="54"/>
      <c r="H14" s="54"/>
      <c r="I14" s="54"/>
      <c r="J14" s="54"/>
      <c r="K14" s="54"/>
      <c r="L14" s="54"/>
      <c r="M14" s="54"/>
      <c r="N14" s="54"/>
      <c r="O14" s="54"/>
      <c r="P14" s="54"/>
      <c r="Q14" s="54"/>
      <c r="R14" s="54"/>
      <c r="S14" s="54"/>
      <c r="T14" s="54"/>
      <c r="U14" s="54"/>
      <c r="V14" s="54"/>
      <c r="W14" s="54"/>
      <c r="X14" s="54"/>
      <c r="Y14" s="54"/>
      <c r="Z14" s="54"/>
    </row>
    <row r="15">
      <c r="A15" s="54"/>
      <c r="B15" s="54"/>
      <c r="C15" s="54"/>
      <c r="D15" s="54"/>
      <c r="E15" s="54"/>
      <c r="F15" s="54"/>
      <c r="G15" s="54"/>
      <c r="H15" s="54"/>
      <c r="I15" s="54"/>
      <c r="J15" s="54"/>
      <c r="K15" s="54"/>
      <c r="L15" s="54"/>
      <c r="M15" s="54"/>
      <c r="N15" s="54"/>
      <c r="O15" s="54"/>
      <c r="P15" s="54"/>
      <c r="Q15" s="54"/>
      <c r="R15" s="54"/>
      <c r="S15" s="54"/>
      <c r="T15" s="54"/>
      <c r="U15" s="54"/>
      <c r="V15" s="54"/>
      <c r="W15" s="54"/>
      <c r="X15" s="54"/>
      <c r="Y15" s="54"/>
      <c r="Z15" s="54"/>
    </row>
    <row r="16">
      <c r="A16" s="54"/>
      <c r="B16" s="54"/>
      <c r="C16" s="54"/>
      <c r="D16" s="54"/>
      <c r="E16" s="54"/>
      <c r="F16" s="54"/>
      <c r="G16" s="54"/>
      <c r="H16" s="54"/>
      <c r="I16" s="54"/>
      <c r="J16" s="54"/>
      <c r="K16" s="54"/>
      <c r="L16" s="54"/>
      <c r="M16" s="54"/>
      <c r="N16" s="54"/>
      <c r="O16" s="54"/>
      <c r="P16" s="54"/>
      <c r="Q16" s="54"/>
      <c r="R16" s="54"/>
      <c r="S16" s="54"/>
      <c r="T16" s="54"/>
      <c r="U16" s="54"/>
      <c r="V16" s="54"/>
      <c r="W16" s="54"/>
      <c r="X16" s="54"/>
      <c r="Y16" s="54"/>
      <c r="Z16" s="54"/>
    </row>
    <row r="17">
      <c r="A17" s="54"/>
      <c r="B17" s="54"/>
      <c r="C17" s="54"/>
      <c r="D17" s="54"/>
      <c r="E17" s="54"/>
      <c r="F17" s="54"/>
      <c r="G17" s="54"/>
      <c r="H17" s="54"/>
      <c r="I17" s="54"/>
      <c r="J17" s="54"/>
      <c r="K17" s="54"/>
      <c r="L17" s="54"/>
      <c r="M17" s="54"/>
      <c r="N17" s="54"/>
      <c r="O17" s="54"/>
      <c r="P17" s="54"/>
      <c r="Q17" s="54"/>
      <c r="R17" s="54"/>
      <c r="S17" s="54"/>
      <c r="T17" s="54"/>
      <c r="U17" s="54"/>
      <c r="V17" s="54"/>
      <c r="W17" s="54"/>
      <c r="X17" s="54"/>
      <c r="Y17" s="54"/>
      <c r="Z17" s="54"/>
    </row>
    <row r="18">
      <c r="A18" s="54"/>
      <c r="B18" s="54"/>
      <c r="C18" s="54"/>
      <c r="D18" s="54"/>
      <c r="E18" s="54"/>
      <c r="F18" s="54"/>
      <c r="G18" s="54"/>
      <c r="H18" s="54"/>
      <c r="I18" s="54"/>
      <c r="J18" s="54"/>
      <c r="K18" s="54"/>
      <c r="L18" s="54"/>
      <c r="M18" s="54"/>
      <c r="N18" s="54"/>
      <c r="O18" s="54"/>
      <c r="P18" s="54"/>
      <c r="Q18" s="54"/>
      <c r="R18" s="54"/>
      <c r="S18" s="54"/>
      <c r="T18" s="54"/>
      <c r="U18" s="54"/>
      <c r="V18" s="54"/>
      <c r="W18" s="54"/>
      <c r="X18" s="54"/>
      <c r="Y18" s="54"/>
      <c r="Z18" s="54"/>
    </row>
    <row r="19">
      <c r="A19" s="54"/>
      <c r="B19" s="54"/>
      <c r="C19" s="54"/>
      <c r="D19" s="54"/>
      <c r="E19" s="54"/>
      <c r="F19" s="54"/>
      <c r="G19" s="54"/>
      <c r="H19" s="54"/>
      <c r="I19" s="54"/>
      <c r="J19" s="54"/>
      <c r="K19" s="54"/>
      <c r="L19" s="54"/>
      <c r="M19" s="54"/>
      <c r="N19" s="54"/>
      <c r="O19" s="54"/>
      <c r="P19" s="54"/>
      <c r="Q19" s="54"/>
      <c r="R19" s="54"/>
      <c r="S19" s="54"/>
      <c r="T19" s="54"/>
      <c r="U19" s="54"/>
      <c r="V19" s="54"/>
      <c r="W19" s="54"/>
      <c r="X19" s="54"/>
      <c r="Y19" s="54"/>
      <c r="Z19" s="54"/>
    </row>
    <row r="20">
      <c r="A20" s="54"/>
      <c r="B20" s="54"/>
      <c r="C20" s="54"/>
      <c r="D20" s="54"/>
      <c r="E20" s="54"/>
      <c r="F20" s="54"/>
      <c r="G20" s="54"/>
      <c r="H20" s="54"/>
      <c r="I20" s="54"/>
      <c r="J20" s="54"/>
      <c r="K20" s="54"/>
      <c r="L20" s="54"/>
      <c r="M20" s="54"/>
      <c r="N20" s="54"/>
      <c r="O20" s="54"/>
      <c r="P20" s="54"/>
      <c r="Q20" s="54"/>
      <c r="R20" s="54"/>
      <c r="S20" s="54"/>
      <c r="T20" s="54"/>
      <c r="U20" s="54"/>
      <c r="V20" s="54"/>
      <c r="W20" s="54"/>
      <c r="X20" s="54"/>
      <c r="Y20" s="54"/>
      <c r="Z20" s="54"/>
    </row>
    <row r="21">
      <c r="A21" s="54"/>
      <c r="B21" s="54"/>
      <c r="C21" s="54"/>
      <c r="D21" s="54"/>
      <c r="E21" s="54"/>
      <c r="F21" s="54"/>
      <c r="G21" s="54"/>
      <c r="H21" s="54"/>
      <c r="I21" s="54"/>
      <c r="J21" s="54"/>
      <c r="K21" s="54"/>
      <c r="L21" s="54"/>
      <c r="M21" s="54"/>
      <c r="N21" s="54"/>
      <c r="O21" s="54"/>
      <c r="P21" s="54"/>
      <c r="Q21" s="54"/>
      <c r="R21" s="54"/>
      <c r="S21" s="54"/>
      <c r="T21" s="54"/>
      <c r="U21" s="54"/>
      <c r="V21" s="54"/>
      <c r="W21" s="54"/>
      <c r="X21" s="54"/>
      <c r="Y21" s="54"/>
      <c r="Z21" s="54"/>
    </row>
    <row r="22">
      <c r="A22" s="54"/>
      <c r="B22" s="54"/>
      <c r="C22" s="54"/>
      <c r="D22" s="54"/>
      <c r="E22" s="54"/>
      <c r="F22" s="54"/>
      <c r="G22" s="54"/>
      <c r="H22" s="54"/>
      <c r="I22" s="54"/>
      <c r="J22" s="54"/>
      <c r="K22" s="54"/>
      <c r="L22" s="54"/>
      <c r="M22" s="54"/>
      <c r="N22" s="54"/>
      <c r="O22" s="54"/>
      <c r="P22" s="54"/>
      <c r="Q22" s="54"/>
      <c r="R22" s="54"/>
      <c r="S22" s="54"/>
      <c r="T22" s="54"/>
      <c r="U22" s="54"/>
      <c r="V22" s="54"/>
      <c r="W22" s="54"/>
      <c r="X22" s="54"/>
      <c r="Y22" s="54"/>
      <c r="Z22" s="54"/>
    </row>
    <row r="23">
      <c r="A23" s="54"/>
      <c r="B23" s="54"/>
      <c r="C23" s="54"/>
      <c r="D23" s="54"/>
      <c r="E23" s="54"/>
      <c r="F23" s="54"/>
      <c r="G23" s="54"/>
      <c r="H23" s="54"/>
      <c r="I23" s="54"/>
      <c r="J23" s="54"/>
      <c r="K23" s="54"/>
      <c r="L23" s="54"/>
      <c r="M23" s="54"/>
      <c r="N23" s="54"/>
      <c r="O23" s="54"/>
      <c r="P23" s="54"/>
      <c r="Q23" s="54"/>
      <c r="R23" s="54"/>
      <c r="S23" s="54"/>
      <c r="T23" s="54"/>
      <c r="U23" s="54"/>
      <c r="V23" s="54"/>
      <c r="W23" s="54"/>
      <c r="X23" s="54"/>
      <c r="Y23" s="54"/>
      <c r="Z23" s="54"/>
    </row>
    <row r="24">
      <c r="A24" s="54"/>
      <c r="B24" s="54"/>
      <c r="C24" s="54"/>
      <c r="D24" s="54"/>
      <c r="E24" s="54"/>
      <c r="F24" s="54"/>
      <c r="G24" s="54"/>
      <c r="H24" s="54"/>
      <c r="I24" s="54"/>
      <c r="J24" s="54"/>
      <c r="K24" s="54"/>
      <c r="L24" s="54"/>
      <c r="M24" s="54"/>
      <c r="N24" s="54"/>
      <c r="O24" s="54"/>
      <c r="P24" s="54"/>
      <c r="Q24" s="54"/>
      <c r="R24" s="54"/>
      <c r="S24" s="54"/>
      <c r="T24" s="54"/>
      <c r="U24" s="54"/>
      <c r="V24" s="54"/>
      <c r="W24" s="54"/>
      <c r="X24" s="54"/>
      <c r="Y24" s="54"/>
      <c r="Z24" s="54"/>
    </row>
    <row r="25">
      <c r="A25" s="54"/>
      <c r="B25" s="54"/>
      <c r="C25" s="54"/>
      <c r="D25" s="54"/>
      <c r="E25" s="54"/>
      <c r="F25" s="54"/>
      <c r="G25" s="54"/>
      <c r="H25" s="54"/>
      <c r="I25" s="54"/>
      <c r="J25" s="54"/>
      <c r="K25" s="54"/>
      <c r="L25" s="54"/>
      <c r="M25" s="54"/>
      <c r="N25" s="54"/>
      <c r="O25" s="54"/>
      <c r="P25" s="54"/>
      <c r="Q25" s="54"/>
      <c r="R25" s="54"/>
      <c r="S25" s="54"/>
      <c r="T25" s="54"/>
      <c r="U25" s="54"/>
      <c r="V25" s="54"/>
      <c r="W25" s="54"/>
      <c r="X25" s="54"/>
      <c r="Y25" s="54"/>
      <c r="Z25" s="54"/>
    </row>
    <row r="26">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row>
    <row r="27">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row>
    <row r="28">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row>
    <row r="29">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row>
    <row r="30">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row>
    <row r="31">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row>
    <row r="32">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row>
    <row r="33">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row>
    <row r="34">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row>
    <row r="35">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row>
    <row r="36">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row>
    <row r="37">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row>
    <row r="38">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row>
    <row r="39">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row>
    <row r="40">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row>
    <row r="41">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row>
    <row r="42">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row>
    <row r="43">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row>
    <row r="44">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row>
    <row r="45">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row>
    <row r="46">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row>
    <row r="47">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row>
    <row r="48">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row>
    <row r="49">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row>
    <row r="50">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row>
    <row r="51">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row>
    <row r="52">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row>
    <row r="53">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row>
    <row r="54">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row>
    <row r="55">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row>
    <row r="56">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row>
    <row r="57">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row>
    <row r="58">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row>
    <row r="70">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row>
    <row r="71">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row>
    <row r="72">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mergeCells count="1">
    <mergeCell ref="A1:C1"/>
  </mergeCells>
  <drawing r:id="rId1"/>
</worksheet>
</file>